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3" defaultThemeVersion="166925"/>
  <mc:AlternateContent xmlns:mc="http://schemas.openxmlformats.org/markup-compatibility/2006">
    <mc:Choice Requires="x15">
      <x15ac:absPath xmlns:x15ac="http://schemas.microsoft.com/office/spreadsheetml/2010/11/ac" url="C:\Users\Ultimate Admin\Desktop\OneDrive_1_5-7-2020\"/>
    </mc:Choice>
  </mc:AlternateContent>
  <xr:revisionPtr revIDLastSave="0" documentId="13_ncr:1_{C6819457-610F-4DE1-8B34-ECB96E9E0B6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User Guide" sheetId="16" r:id="rId1"/>
    <sheet name="PO" sheetId="7" r:id="rId2"/>
    <sheet name="INTERNAL PO" sheetId="12" r:id="rId3"/>
    <sheet name="contacts" sheetId="14" r:id="rId4"/>
    <sheet name="Additional F(x)" sheetId="13" r:id="rId5"/>
    <sheet name="Check" sheetId="15" r:id="rId6"/>
  </sheets>
  <functionGroups builtInGroupCount="19"/>
  <definedNames>
    <definedName name="_xlnm._FilterDatabase" localSheetId="2" hidden="1">'INTERNAL PO'!$A$1:$N$1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7" l="1"/>
  <c r="M2" i="7"/>
  <c r="S2" i="7"/>
  <c r="J2" i="7"/>
  <c r="H2" i="7"/>
  <c r="F2" i="7"/>
  <c r="O2" i="7"/>
  <c r="G2" i="7"/>
  <c r="N2" i="7" l="1"/>
  <c r="Q2" i="7"/>
  <c r="B2" i="15" l="1"/>
  <c r="C2" i="15" s="1"/>
  <c r="J2" i="12" l="1"/>
  <c r="Q2" i="12"/>
  <c r="H2" i="12"/>
  <c r="E2" i="12"/>
  <c r="D2" i="12"/>
  <c r="G2" i="12"/>
  <c r="C2" i="12"/>
  <c r="L2" i="12"/>
  <c r="K2" i="12" l="1"/>
  <c r="O2" i="12"/>
  <c r="C2" i="14" l="1"/>
  <c r="W2" i="12"/>
  <c r="T2" i="7" l="1"/>
  <c r="R2" i="12"/>
  <c r="X2" i="7"/>
  <c r="AA2" i="12" l="1"/>
  <c r="Z2" i="12" s="1"/>
  <c r="X2" i="12"/>
  <c r="Y2" i="12" s="1"/>
  <c r="V2" i="12"/>
  <c r="C2" i="13"/>
  <c r="B2" i="13"/>
  <c r="Z2" i="7" l="1"/>
  <c r="W2" i="7" l="1"/>
  <c r="AA2" i="7" s="1"/>
  <c r="Y2" i="7" l="1"/>
  <c r="AC2" i="7" l="1"/>
  <c r="AB2" i="7" s="1"/>
</calcChain>
</file>

<file path=xl/sharedStrings.xml><?xml version="1.0" encoding="utf-8"?>
<sst xmlns="http://schemas.openxmlformats.org/spreadsheetml/2006/main" count="77" uniqueCount="55">
  <si>
    <t>Vendor</t>
  </si>
  <si>
    <t>Closed</t>
  </si>
  <si>
    <t>Ship Date</t>
  </si>
  <si>
    <t>Days Since</t>
  </si>
  <si>
    <t>Days to</t>
  </si>
  <si>
    <t>Details</t>
  </si>
  <si>
    <t>N</t>
  </si>
  <si>
    <t>Cust PO#</t>
  </si>
  <si>
    <t>At MAI</t>
  </si>
  <si>
    <t>MAI Invoice</t>
  </si>
  <si>
    <t>Folder</t>
  </si>
  <si>
    <t>OA</t>
  </si>
  <si>
    <t>Shipped</t>
  </si>
  <si>
    <t>RFQ#</t>
  </si>
  <si>
    <t>PO count</t>
  </si>
  <si>
    <t>Not Shipped</t>
  </si>
  <si>
    <t>o7_Salute</t>
  </si>
  <si>
    <t>PO w/ Stock</t>
  </si>
  <si>
    <t>e-mail</t>
  </si>
  <si>
    <t>Contact</t>
  </si>
  <si>
    <t>=IF(SUMIF('https://murakamiamerica-my.sharepoint.com/personal/shota_murakamiusa_com/Documents/me/C6620 SHIPPING/[Aerotech Shipping alpha.xlsx]Inventory List'!$B:$B,MAI_SG[MAI PO],'https://murakamiamerica-my.sharepoint.com/personal/shota_murakamiusa_com/Documents/me/C6620 SHIPPING/[Aerotech Shipping alpha.xlsx]Inventory List'!$J:$J)=0,"Y","N")</t>
  </si>
  <si>
    <t>PLs</t>
  </si>
  <si>
    <t>Last Shipment</t>
  </si>
  <si>
    <t>Tester sw</t>
  </si>
  <si>
    <t>e-mail_CC</t>
  </si>
  <si>
    <t>OAe-mail_CC</t>
  </si>
  <si>
    <t>Ven Ship Date</t>
  </si>
  <si>
    <t>PO Date</t>
  </si>
  <si>
    <t>PONum Master</t>
  </si>
  <si>
    <t>In Sheet?</t>
  </si>
  <si>
    <t>PRICE LIST</t>
  </si>
  <si>
    <t>Cust ID</t>
  </si>
  <si>
    <t>CUST</t>
  </si>
  <si>
    <t>PO</t>
  </si>
  <si>
    <t>PONum</t>
  </si>
  <si>
    <t>Customer PO</t>
  </si>
  <si>
    <t>Folder Location</t>
  </si>
  <si>
    <t>InteralPO</t>
  </si>
  <si>
    <t>VendorID</t>
  </si>
  <si>
    <t>Our PO Exist</t>
  </si>
  <si>
    <t>Received</t>
  </si>
  <si>
    <t>My PO#</t>
  </si>
  <si>
    <t>My OA</t>
  </si>
  <si>
    <t>Rep</t>
  </si>
  <si>
    <t>My PO</t>
  </si>
  <si>
    <t>Paste a column of PO Numbers to check if each PO Number is listed on the sheet.</t>
  </si>
  <si>
    <t>Nomenclature</t>
  </si>
  <si>
    <t>RFQ</t>
  </si>
  <si>
    <t>Request for Quote</t>
  </si>
  <si>
    <t>Purchase Order</t>
  </si>
  <si>
    <t>Order Acknowledgement</t>
  </si>
  <si>
    <t>Introduction</t>
  </si>
  <si>
    <t>This is for clients that use Folder-based business file management. I use it for managing purchase orders.</t>
  </si>
  <si>
    <t>Given a Folder name, it will output whether it is empty or not.</t>
  </si>
  <si>
    <t>Customization required, every client will have different folder hiearchies and structures. Knowledge of VB required to manipulate the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</si>
</sst>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4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4" fillId="0" borderId="0" xfId="1"/>
    <xf numFmtId="0" fontId="1" fillId="0" borderId="0" xfId="0" applyFont="1" applyBorder="1"/>
    <xf numFmtId="164" fontId="1" fillId="0" borderId="0" xfId="0" applyNumberFormat="1" applyFont="1" applyBorder="1"/>
    <xf numFmtId="1" fontId="1" fillId="0" borderId="0" xfId="0" applyNumberFormat="1" applyFont="1" applyBorder="1"/>
    <xf numFmtId="49" fontId="1" fillId="0" borderId="0" xfId="0" applyNumberFormat="1" applyFont="1" applyBorder="1"/>
    <xf numFmtId="0" fontId="0" fillId="0" borderId="0" xfId="0" applyBorder="1"/>
    <xf numFmtId="1" fontId="0" fillId="0" borderId="0" xfId="0" applyNumberFormat="1" applyBorder="1"/>
    <xf numFmtId="164" fontId="0" fillId="0" borderId="0" xfId="0" applyNumberFormat="1" applyBorder="1"/>
    <xf numFmtId="1" fontId="3" fillId="0" borderId="0" xfId="0" applyNumberFormat="1" applyFont="1" applyBorder="1"/>
    <xf numFmtId="49" fontId="0" fillId="0" borderId="0" xfId="0" applyNumberFormat="1" applyBorder="1"/>
    <xf numFmtId="0" fontId="0" fillId="0" borderId="0" xfId="0" applyNumberFormat="1" applyBorder="1"/>
    <xf numFmtId="14" fontId="0" fillId="0" borderId="0" xfId="0" applyNumberFormat="1" applyBorder="1"/>
    <xf numFmtId="0" fontId="0" fillId="0" borderId="0" xfId="0" quotePrefix="1" applyBorder="1"/>
    <xf numFmtId="0" fontId="0" fillId="0" borderId="2" xfId="0" applyBorder="1"/>
    <xf numFmtId="0" fontId="1" fillId="0" borderId="3" xfId="0" applyFont="1" applyBorder="1"/>
    <xf numFmtId="0" fontId="0" fillId="0" borderId="3" xfId="0" applyBorder="1"/>
    <xf numFmtId="49" fontId="0" fillId="0" borderId="0" xfId="0" applyNumberFormat="1"/>
    <xf numFmtId="14" fontId="3" fillId="0" borderId="0" xfId="0" applyNumberFormat="1" applyFont="1" applyBorder="1"/>
    <xf numFmtId="164" fontId="6" fillId="0" borderId="2" xfId="0" applyNumberFormat="1" applyFont="1" applyBorder="1"/>
    <xf numFmtId="164" fontId="3" fillId="0" borderId="0" xfId="1" applyNumberFormat="1" applyFont="1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7" fillId="0" borderId="0" xfId="0" applyFont="1"/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0" xfId="0" applyFill="1"/>
    <xf numFmtId="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3" fillId="0" borderId="0" xfId="0" applyNumberFormat="1" applyFont="1"/>
    <xf numFmtId="0" fontId="4" fillId="0" borderId="0" xfId="1" applyNumberFormat="1"/>
    <xf numFmtId="49" fontId="5" fillId="2" borderId="0" xfId="0" applyNumberFormat="1" applyFont="1" applyFill="1" applyAlignment="1">
      <alignment vertical="top"/>
    </xf>
    <xf numFmtId="0" fontId="1" fillId="0" borderId="0" xfId="0" applyFont="1"/>
  </cellXfs>
  <cellStyles count="3">
    <cellStyle name="Hyperlink" xfId="1" builtinId="8"/>
    <cellStyle name="Normal" xfId="0" builtinId="0"/>
    <cellStyle name="Normal 2" xfId="2" xr:uid="{DB99ECD7-78A7-4AC8-B237-FC41018B138A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general" vertical="top" textRotation="0" wrapText="0" indent="0" justifyLastLine="0" shrinkToFit="0" readingOrder="0"/>
    </dxf>
    <dxf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right style="thin">
          <color theme="0" tint="-0.14999847407452621"/>
        </right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</dxf>
    <dxf>
      <numFmt numFmtId="1" formatCode="0"/>
    </dxf>
    <dxf>
      <numFmt numFmtId="164" formatCode="m/d;@"/>
    </dxf>
    <dxf>
      <font>
        <color auto="1"/>
      </font>
      <numFmt numFmtId="1" formatCode="0"/>
    </dxf>
    <dxf>
      <numFmt numFmtId="1" formatCode="0"/>
    </dxf>
    <dxf>
      <numFmt numFmtId="164" formatCode="m/d;@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m/d;@"/>
    </dxf>
    <dxf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0033"/>
      </font>
      <fill>
        <patternFill>
          <bgColor rgb="FFFFCCCC"/>
        </patternFill>
      </fill>
    </dxf>
    <dxf>
      <font>
        <color rgb="FF006600"/>
      </font>
      <fill>
        <patternFill>
          <bgColor rgb="FFCCFFCC"/>
        </patternFill>
      </fill>
    </dxf>
    <dxf>
      <font>
        <color rgb="FF990033"/>
      </font>
      <fill>
        <patternFill>
          <bgColor rgb="FFFFCCCC"/>
        </patternFill>
      </fill>
    </dxf>
    <dxf>
      <font>
        <color rgb="FF006600"/>
      </font>
      <fill>
        <patternFill>
          <bgColor rgb="FFCCFFCC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</dxf>
    <dxf>
      <numFmt numFmtId="164" formatCode="m/d;@"/>
    </dxf>
    <dxf>
      <numFmt numFmtId="1" formatCode="0"/>
    </dxf>
    <dxf>
      <font>
        <color auto="1"/>
      </font>
      <numFmt numFmtId="1" formatCode="0"/>
    </dxf>
    <dxf>
      <numFmt numFmtId="164" formatCode="m/d;@"/>
    </dxf>
    <dxf>
      <numFmt numFmtId="164" formatCode="m/d;@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m/d;@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border diagonalUp="0" diagonalDown="0">
        <left style="thin">
          <color theme="0" tint="-0.14999847407452621"/>
        </left>
        <right style="thin">
          <color theme="0" tint="-0.14999847407452621"/>
        </right>
        <top/>
        <bottom/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90033"/>
      </font>
      <fill>
        <patternFill>
          <bgColor rgb="FFFFCCCC"/>
        </patternFill>
      </fill>
    </dxf>
    <dxf>
      <font>
        <color rgb="FF006600"/>
      </font>
      <fill>
        <patternFill>
          <bgColor rgb="FFCCFFCC"/>
        </patternFill>
      </fill>
    </dxf>
    <dxf>
      <border>
        <left style="hair">
          <color theme="0" tint="-0.24994659260841701"/>
        </left>
        <right style="hair">
          <color theme="0" tint="-0.24994659260841701"/>
        </right>
        <top style="hair">
          <color theme="0" tint="-0.24994659260841701"/>
        </top>
        <bottom style="hair">
          <color theme="0" tint="-0.24994659260841701"/>
        </bottom>
        <vertical style="hair">
          <color theme="0" tint="-0.24994659260841701"/>
        </vertical>
        <horizontal style="hair">
          <color theme="0" tint="-0.24994659260841701"/>
        </horizontal>
      </border>
    </dxf>
  </dxfs>
  <tableStyles count="1" defaultTableStyle="TableStyleMedium2" defaultPivotStyle="PivotStyleLight16">
    <tableStyle name="Table Style 1" pivot="0" count="1" xr9:uid="{65FF5319-8DD3-435E-BD10-17C76BEA28B3}">
      <tableStyleElement type="wholeTable" dxfId="59"/>
    </tableStyle>
  </tableStyles>
  <colors>
    <mruColors>
      <color rgb="FFFFCCCC"/>
      <color rgb="FFCCFFCC"/>
      <color rgb="FF99FFCC"/>
      <color rgb="FF99FF99"/>
      <color rgb="FF006600"/>
      <color rgb="FF990033"/>
      <color rgb="FFCC0000"/>
      <color rgb="FFFF0066"/>
      <color rgb="FFFF99CC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0</xdr:row>
          <xdr:rowOff>47625</xdr:rowOff>
        </xdr:from>
        <xdr:to>
          <xdr:col>21</xdr:col>
          <xdr:colOff>495300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4</xdr:row>
          <xdr:rowOff>9525</xdr:rowOff>
        </xdr:from>
        <xdr:to>
          <xdr:col>21</xdr:col>
          <xdr:colOff>295275</xdr:colOff>
          <xdr:row>6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OA E-mail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0</xdr:row>
          <xdr:rowOff>57150</xdr:rowOff>
        </xdr:from>
        <xdr:to>
          <xdr:col>19</xdr:col>
          <xdr:colOff>514350</xdr:colOff>
          <xdr:row>3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133350</xdr:colOff>
          <xdr:row>4</xdr:row>
          <xdr:rowOff>161925</xdr:rowOff>
        </xdr:from>
        <xdr:to>
          <xdr:col>19</xdr:col>
          <xdr:colOff>447675</xdr:colOff>
          <xdr:row>8</xdr:row>
          <xdr:rowOff>47625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OA E-mail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133350</xdr:rowOff>
        </xdr:from>
        <xdr:to>
          <xdr:col>5</xdr:col>
          <xdr:colOff>514350</xdr:colOff>
          <xdr:row>2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0D0D86-7879-4A58-B6FD-3177AD306C08}" name="Table_MAI" displayName="Table_MAI" ref="A1:T2" totalsRowShown="0" headerRowDxfId="53">
  <autoFilter ref="A1:T2" xr:uid="{711C0624-609B-4907-85C6-BB5E889A4542}"/>
  <sortState xmlns:xlrd2="http://schemas.microsoft.com/office/spreadsheetml/2017/richdata2" ref="A2:T2">
    <sortCondition ref="M1:M2"/>
  </sortState>
  <tableColumns count="20">
    <tableColumn id="17" xr3:uid="{48B8B601-2E09-4FD1-AA6B-27865992C6E4}" name="Folder" dataDxfId="52"/>
    <tableColumn id="1" xr3:uid="{0AD53646-08D0-4744-803D-56111C6D5442}" name="Cust PO#"/>
    <tableColumn id="2" xr3:uid="{59B0E70B-6E00-4E9B-859D-27D22E262E78}" name="My PO#" dataDxfId="51"/>
    <tableColumn id="16" xr3:uid="{699C03C7-4D64-4D83-9CB9-35732BAE1385}" name="RFQ#" dataDxfId="50"/>
    <tableColumn id="3" xr3:uid="{16804B9C-FDCF-43C2-BAD9-52EE1B7B301D}" name="Vendor"/>
    <tableColumn id="21" xr3:uid="{AE8B9AAC-9665-40BE-8322-F9F0C2282C8C}" name="PO Date" dataDxfId="49">
      <calculatedColumnFormula>IF(LastModDate(Table_MAI[[#This Row],[My PO'#]],"02.Customer_PO")=0,"",LastModDate(Table_MAI[[#This Row],[My PO'#]],"02.Customer_PO"))</calculatedColumnFormula>
    </tableColumn>
    <tableColumn id="5" xr3:uid="{583F4EFD-1DDB-4D1A-825F-AD929AC3263C}" name="Our PO Exist" dataDxfId="48">
      <calculatedColumnFormula>POfileExists(Table_MAI[[#This Row],[My PO'#]],"PO")</calculatedColumnFormula>
    </tableColumn>
    <tableColumn id="6" xr3:uid="{BEEE76D7-7BEB-4518-806F-5475F7DA0BC7}" name="OA" dataDxfId="47">
      <calculatedColumnFormula>POfileExists(Table_MAI[[#This Row],[My PO'#]],"vOA")</calculatedColumnFormula>
    </tableColumn>
    <tableColumn id="7" xr3:uid="{6436D3D0-3B62-4AD7-80D9-CA12B36BB5C1}" name="Shipped" dataDxfId="46"/>
    <tableColumn id="8" xr3:uid="{E0045B1C-7CF7-4F25-98A0-563A363A7E89}" name="Received" dataDxfId="45">
      <calculatedColumnFormula>POFolderNumFiles(C2)</calculatedColumnFormula>
    </tableColumn>
    <tableColumn id="19" xr3:uid="{4F902F9A-7E1E-4B53-94BE-6325AA38DA0C}" name="Ship Date" dataDxfId="44">
      <calculatedColumnFormula>TEXT(Table_MAI[[#This Row],[Ven Ship Date]]+14,"MMM/DD/YYYY")</calculatedColumnFormula>
    </tableColumn>
    <tableColumn id="10" xr3:uid="{9C02BB37-60BA-4C68-8454-23EF3D732A7F}" name="Ven Ship Date" dataDxfId="43"/>
    <tableColumn id="11" xr3:uid="{6942B060-B6F9-495D-8823-EE83323BA329}" name="Days to" dataDxfId="42">
      <calculatedColumnFormula>IF(I2="Y","",L2-TODAY())</calculatedColumnFormula>
    </tableColumn>
    <tableColumn id="12" xr3:uid="{A75C0558-9B37-4C5D-A83F-D432C765B3C4}" name="Days Since" dataDxfId="41">
      <calculatedColumnFormula>IF(NOT(Table_MAI[[#This Row],[Last Shipment]]=""),TODAY()-O2,"")</calculatedColumnFormula>
    </tableColumn>
    <tableColumn id="13" xr3:uid="{820DD76F-10B7-4AB4-88DD-1E22F54D8598}" name="Last Shipment" dataDxfId="40">
      <calculatedColumnFormula>IF(LastModDate(Table_MAI[[#This Row],[My PO'#]],"09.Others")=0,"",LastModDate(Table_MAI[[#This Row],[My PO'#]],"09.Others"))</calculatedColumnFormula>
    </tableColumn>
    <tableColumn id="14" xr3:uid="{17CEA49A-0981-45FB-A2EF-3852454C38D7}" name="Details" dataDxfId="39"/>
    <tableColumn id="4" xr3:uid="{1A2BF6E9-3F25-4D7F-A237-C911CB992492}" name="My OA" dataDxfId="38">
      <calculatedColumnFormula>IF(Table_MAI[[#This Row],[OA]]="Yes",POfileExists(C2,"mOA"),"No VOA")</calculatedColumnFormula>
    </tableColumn>
    <tableColumn id="18" xr3:uid="{E547AC5E-0243-4C4E-9F4F-405397C36BE7}" name="o7_Salute"/>
    <tableColumn id="9" xr3:uid="{FC4AF5B0-B5E6-4285-BD22-5126EC4E61D0}" name="e-mail" dataDxfId="37">
      <calculatedColumnFormula>VLOOKUP(Table_MAI[[#This Row],[o7_Salute]],contacts[],2,FALSE)</calculatedColumnFormula>
    </tableColumn>
    <tableColumn id="15" xr3:uid="{C38E7F45-85E4-471C-A9C4-52FA0F0CE776}" name="e-mail_CC" dataDxfId="36">
      <calculatedColumnFormula>VLOOKUP(Table_MAI[[#This Row],[o7_Salute]],contacts[],3,FALSE)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1E936-97D1-4030-ADE0-4EE4B21FEF56}" name="Table_MJ" displayName="Table_MJ" ref="A1:R2" totalsRowShown="0" headerRowDxfId="26">
  <autoFilter ref="A1:R2" xr:uid="{E6CB7707-8E96-4A4D-91BF-95F4EEE5BA39}"/>
  <sortState xmlns:xlrd2="http://schemas.microsoft.com/office/spreadsheetml/2017/richdata2" ref="A2:R2">
    <sortCondition ref="J1:J2"/>
  </sortState>
  <tableColumns count="18">
    <tableColumn id="1" xr3:uid="{7826C23E-497D-4AA6-AD6D-2EF2CFD36EC6}" name="My PO#"/>
    <tableColumn id="2" xr3:uid="{C0163ADC-AE8C-4EEF-B730-C4B6881FFFD7}" name="Vendor"/>
    <tableColumn id="18" xr3:uid="{21B5A6AD-E81C-4EC2-8869-E0068889492C}" name="PO Date" dataDxfId="25" dataCellStyle="Hyperlink">
      <calculatedColumnFormula>IF(LastModDate(Table_MJ[[#This Row],[My PO'#]],"02.Customer_PO")=0,"",LastModDate(Table_MJ[[#This Row],[My PO'#]],"02.Customer_PO"))</calculatedColumnFormula>
    </tableColumn>
    <tableColumn id="4" xr3:uid="{185A39B5-CF31-4314-B8C8-4C7187602BF3}" name="My PO" dataDxfId="24">
      <calculatedColumnFormula>POfileExists(Table_MJ[[#This Row],[My PO'#]],"PO")</calculatedColumnFormula>
    </tableColumn>
    <tableColumn id="5" xr3:uid="{2B17DAC3-CBDF-4A5E-B546-E5E525DBC70C}" name="OA" dataDxfId="23">
      <calculatedColumnFormula>POfileExists(Table_MJ[[#This Row],[My PO'#]],"vOA")</calculatedColumnFormula>
    </tableColumn>
    <tableColumn id="6" xr3:uid="{EC4CE48A-E9E1-4392-B1C1-42CFA852A5F0}" name="Shipped" dataDxfId="22"/>
    <tableColumn id="7" xr3:uid="{06B5F7E9-4612-4BDC-8374-AA9C5CA5F204}" name="At MAI" dataDxfId="21">
      <calculatedColumnFormula>POFolderNumFiles(Table_MJ[[#This Row],[My PO'#]])</calculatedColumnFormula>
    </tableColumn>
    <tableColumn id="8" xr3:uid="{2101EE1A-98E5-4B10-BD9F-C1C8A9B28B0C}" name="Closed" dataDxfId="20">
      <calculatedColumnFormula>POfileExists(Table_MJ[[#This Row],[My PO'#]],"Closed")</calculatedColumnFormula>
    </tableColumn>
    <tableColumn id="9" xr3:uid="{4C749FD9-E6ED-41EE-8732-8A1FEDFB6A30}" name="Ship Date" dataDxfId="19"/>
    <tableColumn id="10" xr3:uid="{A521E144-8D01-46D5-AF60-60028F1D303B}" name="Days to" dataDxfId="18">
      <calculatedColumnFormula>IF(Table_MJ[[#This Row],[Shipped]]="Y","",Table_MJ[[#This Row],[Ship Date]]-TODAY())</calculatedColumnFormula>
    </tableColumn>
    <tableColumn id="11" xr3:uid="{97871E36-BD33-48E6-8F66-8B7A877B7E2C}" name="Days Since" dataDxfId="17">
      <calculatedColumnFormula>IF(NOT(Table_MJ[[#This Row],[Last Shipment]]=""),TODAY()-L2,"")</calculatedColumnFormula>
    </tableColumn>
    <tableColumn id="12" xr3:uid="{688736E8-F35F-4DA4-B062-A6344E1AE9E2}" name="Last Shipment" dataDxfId="16">
      <calculatedColumnFormula>IF(LastModDate(Table_MJ[[#This Row],[My PO'#]],"09.Others")=0,"",LastModDate(Table_MJ[[#This Row],[My PO'#]],"09.Others"))</calculatedColumnFormula>
    </tableColumn>
    <tableColumn id="16" xr3:uid="{263A307D-9DA0-4756-90D0-73687FB87AA1}" name="PLs" dataDxfId="15"/>
    <tableColumn id="13" xr3:uid="{2A4BAA17-7EAE-46E3-AAE3-59450E9F8CA1}" name="Details" dataDxfId="14"/>
    <tableColumn id="3" xr3:uid="{5DC9B091-E5E8-4FDA-ADF1-387A7D9EB2F7}" name="My OA" dataDxfId="13">
      <calculatedColumnFormula>IF(Table_MJ[[#This Row],[OA]]="Yes",POfileExists(Table_MJ[[#This Row],[My PO'#]],"mOA"),"No VOA")</calculatedColumnFormula>
    </tableColumn>
    <tableColumn id="14" xr3:uid="{02F80457-7418-45D6-9070-F3EAB48E6ADD}" name="Rep" dataDxfId="12"/>
    <tableColumn id="15" xr3:uid="{399D1AD2-5C6B-4D1A-BDF5-B2BFEBF14562}" name="e-mail" dataDxfId="11">
      <calculatedColumnFormula>VLOOKUP(Table_MJ[[#This Row],[Rep]],contacts[],2,FALSE)</calculatedColumnFormula>
    </tableColumn>
    <tableColumn id="17" xr3:uid="{EEB9F394-1CB7-4D7D-9E66-B9C9DDDA83E3}" name="e-mail_CC" dataDxfId="10">
      <calculatedColumnFormula>VLOOKUP(Table_MJ[[#This Row],[Rep]],contacts[],3,FALSE)</calculatedColumnFormula>
    </tableColumn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F58BEC-9008-42A7-B7F1-BAC928BF2675}" name="contacts" displayName="contacts" ref="A1:D2" totalsRowShown="0">
  <autoFilter ref="A1:D2" xr:uid="{19DE2F9D-E3E5-45D1-9786-51629647433A}"/>
  <sortState xmlns:xlrd2="http://schemas.microsoft.com/office/spreadsheetml/2017/richdata2" ref="A2:D2">
    <sortCondition ref="D1:D2"/>
  </sortState>
  <tableColumns count="4">
    <tableColumn id="1" xr3:uid="{F2E2E281-E13B-4C65-933C-855CBFEB9BF9}" name="Contact"/>
    <tableColumn id="2" xr3:uid="{41FF0ACA-CA9E-4BC8-98E8-FCC6E966B90E}" name="e-mail"/>
    <tableColumn id="3" xr3:uid="{E50EAF2D-FABC-467B-98F2-7C9B70C7B9CD}" name="OAe-mail_CC"/>
    <tableColumn id="4" xr3:uid="{0DB39AEB-CDD6-4D40-917E-AE241C652752}" name="Cust ID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0C3C7E-F0C7-47F6-AB57-64728F1B664B}" name="Table7" displayName="Table7" ref="A1:C2" totalsRowShown="0" tableBorderDxfId="3">
  <autoFilter ref="A1:C2" xr:uid="{D0E96B06-8049-495C-A275-53756AB4077A}"/>
  <tableColumns count="3">
    <tableColumn id="1" xr3:uid="{B0C048FB-5EB0-4592-BBB8-5C4AC943FE67}" name="PO" dataCellStyle="Hyperlink"/>
    <tableColumn id="2" xr3:uid="{4E871E63-2965-49E1-8CF6-779E45E489C8}" name="Closed" dataDxfId="2">
      <calculatedColumnFormula>POfileExists(A2,"Closed")</calculatedColumnFormula>
    </tableColumn>
    <tableColumn id="3" xr3:uid="{167E656F-F455-4BC6-AF1C-CF9EF8EF462A}" name="MAI Invoice" dataDxfId="1">
      <calculatedColumnFormula>POfileExists(A2,"Min")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47AA4D-B066-498C-91C3-528D3152A72E}" name="Table1" displayName="Table1" ref="A1:C2" totalsRowShown="0">
  <autoFilter ref="A1:C2" xr:uid="{C43CEA47-BA93-4697-8200-53A9B49133FF}"/>
  <sortState xmlns:xlrd2="http://schemas.microsoft.com/office/spreadsheetml/2017/richdata2" ref="A2:C2">
    <sortCondition descending="1" ref="C1:C2"/>
  </sortState>
  <tableColumns count="3">
    <tableColumn id="1" xr3:uid="{E256528F-118E-4AAF-B95D-E98B5B6983D9}" name="PONum" dataDxfId="0"/>
    <tableColumn id="2" xr3:uid="{3423D205-DADF-4625-B016-1D06CBBD74D9}" name="PONum Master">
      <calculatedColumnFormula>IFERROR(LEFT(A2,FIND("_",A2)-1),IFERROR(LEFT(A2,FIND("/",A2)-1),A2))</calculatedColumnFormula>
    </tableColumn>
    <tableColumn id="3" xr3:uid="{40E7BE12-A0C3-4018-9DD8-756CDD08CF10}" name="In Sheet?">
      <calculatedColumnFormula>IFERROR(VLOOKUP(B2,Table_MJ[My PO'#],1,FALSE),IFERROR(VLOOKUP(B2,#REF!,1,FALSE),VLOOKUP(B2,Table_MAI[My PO'#],1,FALSE)))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MAFS2019\Business%20Documents\2.%20Open%20PO\MAI-11906-SW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D838D-C3F9-42FF-8F0A-921FDBCE4BBB}">
  <dimension ref="A1:B9"/>
  <sheetViews>
    <sheetView tabSelected="1" workbookViewId="0">
      <selection activeCell="A10" sqref="A10"/>
    </sheetView>
  </sheetViews>
  <sheetFormatPr defaultRowHeight="15" x14ac:dyDescent="0.25"/>
  <cols>
    <col min="1" max="1" width="13.85546875" bestFit="1" customWidth="1"/>
    <col min="2" max="2" width="23.7109375" bestFit="1" customWidth="1"/>
  </cols>
  <sheetData>
    <row r="1" spans="1:2" x14ac:dyDescent="0.25">
      <c r="A1" s="39" t="s">
        <v>46</v>
      </c>
    </row>
    <row r="2" spans="1:2" x14ac:dyDescent="0.25">
      <c r="A2" t="s">
        <v>47</v>
      </c>
      <c r="B2" t="s">
        <v>48</v>
      </c>
    </row>
    <row r="3" spans="1:2" x14ac:dyDescent="0.25">
      <c r="A3" t="s">
        <v>33</v>
      </c>
      <c r="B3" t="s">
        <v>49</v>
      </c>
    </row>
    <row r="4" spans="1:2" x14ac:dyDescent="0.25">
      <c r="A4" t="s">
        <v>11</v>
      </c>
      <c r="B4" t="s">
        <v>50</v>
      </c>
    </row>
    <row r="6" spans="1:2" x14ac:dyDescent="0.25">
      <c r="A6" s="39" t="s">
        <v>51</v>
      </c>
    </row>
    <row r="7" spans="1:2" x14ac:dyDescent="0.25">
      <c r="A7" t="s">
        <v>52</v>
      </c>
    </row>
    <row r="8" spans="1:2" x14ac:dyDescent="0.25">
      <c r="A8" t="s">
        <v>53</v>
      </c>
    </row>
    <row r="9" spans="1:2" x14ac:dyDescent="0.25">
      <c r="A9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1BED4-584F-4791-B09C-67EEC664DFA7}">
  <sheetPr codeName="Sheet3111"/>
  <dimension ref="A1:AC9"/>
  <sheetViews>
    <sheetView topLeftCell="C1" zoomScaleNormal="100" workbookViewId="0">
      <selection activeCell="C2" sqref="C2"/>
    </sheetView>
  </sheetViews>
  <sheetFormatPr defaultRowHeight="15" customHeight="1" x14ac:dyDescent="0.25"/>
  <cols>
    <col min="1" max="5" width="15.7109375" style="8" customWidth="1"/>
    <col min="6" max="6" width="6.7109375" style="10" customWidth="1"/>
    <col min="7" max="10" width="10.7109375" style="23" customWidth="1"/>
    <col min="11" max="11" width="9.140625" style="8" hidden="1" customWidth="1"/>
    <col min="12" max="12" width="6.7109375" customWidth="1"/>
    <col min="13" max="14" width="5.7109375" style="9" customWidth="1"/>
    <col min="15" max="15" width="6.7109375" style="10" customWidth="1"/>
    <col min="16" max="16" width="21.85546875" style="8" customWidth="1"/>
    <col min="17" max="17" width="10.7109375" style="27" customWidth="1"/>
    <col min="18" max="18" width="12" style="8" bestFit="1" customWidth="1"/>
    <col min="19" max="20" width="11.85546875" style="8" hidden="1" customWidth="1"/>
    <col min="21" max="21" width="11.85546875" style="8" customWidth="1"/>
    <col min="22" max="23" width="9.140625" style="8"/>
    <col min="24" max="24" width="12" style="8" bestFit="1" customWidth="1"/>
    <col min="25" max="16384" width="9.140625" style="8"/>
  </cols>
  <sheetData>
    <row r="1" spans="1:29" ht="15" customHeight="1" x14ac:dyDescent="0.25">
      <c r="A1" s="4" t="s">
        <v>10</v>
      </c>
      <c r="B1" s="4" t="s">
        <v>7</v>
      </c>
      <c r="C1" s="4" t="s">
        <v>41</v>
      </c>
      <c r="D1" s="4" t="s">
        <v>13</v>
      </c>
      <c r="E1" s="4" t="s">
        <v>0</v>
      </c>
      <c r="F1" s="21" t="s">
        <v>27</v>
      </c>
      <c r="G1" s="24" t="s">
        <v>39</v>
      </c>
      <c r="H1" s="24" t="s">
        <v>11</v>
      </c>
      <c r="I1" s="24" t="s">
        <v>12</v>
      </c>
      <c r="J1" s="24" t="s">
        <v>40</v>
      </c>
      <c r="K1" s="5" t="s">
        <v>2</v>
      </c>
      <c r="L1" s="5" t="s">
        <v>26</v>
      </c>
      <c r="M1" s="6" t="s">
        <v>4</v>
      </c>
      <c r="N1" s="6" t="s">
        <v>3</v>
      </c>
      <c r="O1" s="5" t="s">
        <v>22</v>
      </c>
      <c r="P1" s="7" t="s">
        <v>5</v>
      </c>
      <c r="Q1" s="23" t="s">
        <v>42</v>
      </c>
      <c r="R1" s="8" t="s">
        <v>16</v>
      </c>
      <c r="S1" s="16" t="s">
        <v>18</v>
      </c>
      <c r="T1" s="16" t="s">
        <v>24</v>
      </c>
      <c r="W1" s="8" t="s">
        <v>14</v>
      </c>
      <c r="X1" s="8" t="s">
        <v>15</v>
      </c>
      <c r="Y1" s="8" t="s">
        <v>17</v>
      </c>
      <c r="Z1" s="15" t="s">
        <v>20</v>
      </c>
    </row>
    <row r="2" spans="1:29" ht="15" customHeight="1" x14ac:dyDescent="0.25">
      <c r="A2" s="37" t="s">
        <v>36</v>
      </c>
      <c r="B2" t="s">
        <v>35</v>
      </c>
      <c r="C2" s="33" t="s">
        <v>37</v>
      </c>
      <c r="D2" s="33" t="s">
        <v>30</v>
      </c>
      <c r="E2" t="s">
        <v>38</v>
      </c>
      <c r="F2" s="30" t="e">
        <f>IF(LastModDate(Table_MAI[[#This Row],[My PO'#]],"02.Customer_PO")=0,"",LastModDate(Table_MAI[[#This Row],[My PO'#]],"02.Customer_PO"))</f>
        <v>#VALUE!</v>
      </c>
      <c r="G2" s="34" t="str">
        <f>POfileExists(Table_MAI[[#This Row],[My PO'#]],"PO")</f>
        <v>No</v>
      </c>
      <c r="H2" s="34" t="str">
        <f>POfileExists(Table_MAI[[#This Row],[My PO'#]],"vOA")</f>
        <v>No</v>
      </c>
      <c r="I2" s="25" t="s">
        <v>6</v>
      </c>
      <c r="J2" s="35" t="str">
        <f>POFolderNumFiles(C2)</f>
        <v>None</v>
      </c>
      <c r="K2" s="30" t="str">
        <f>TEXT(Table_MAI[[#This Row],[Ven Ship Date]]+14,"MMM/DD/YYYY")</f>
        <v>Apr/21/2020</v>
      </c>
      <c r="L2" s="30">
        <v>43928</v>
      </c>
      <c r="M2" s="36">
        <f ca="1">IF(I2="Y","",L2-TODAY())</f>
        <v>-30</v>
      </c>
      <c r="N2" s="31" t="e">
        <f ca="1">IF(NOT(Table_MAI[[#This Row],[Last Shipment]]=""),TODAY()-O2,"")</f>
        <v>#VALUE!</v>
      </c>
      <c r="O2" s="30" t="e">
        <f>IF(LastModDate(Table_MAI[[#This Row],[My PO'#]],"09.Others")=0,"",LastModDate(Table_MAI[[#This Row],[My PO'#]],"09.Others"))</f>
        <v>#VALUE!</v>
      </c>
      <c r="P2" s="19"/>
      <c r="Q2" s="34" t="str">
        <f>IF(Table_MAI[[#This Row],[OA]]="Yes",POfileExists(C2,"mOA"),"No VOA")</f>
        <v>No VOA</v>
      </c>
      <c r="R2" s="8" t="s">
        <v>23</v>
      </c>
      <c r="S2" s="32">
        <f>VLOOKUP(Table_MAI[[#This Row],[o7_Salute]],contacts[],2,FALSE)</f>
        <v>0</v>
      </c>
      <c r="T2" s="32" t="str">
        <f>VLOOKUP(Table_MAI[[#This Row],[o7_Salute]],contacts[],3,FALSE)</f>
        <v/>
      </c>
      <c r="W2" s="8">
        <f>COUNTA(Table_MAI[My PO'#])</f>
        <v>1</v>
      </c>
      <c r="X2" s="8">
        <f>COUNTIF(Table_MAI[Shipped],"n")</f>
        <v>1</v>
      </c>
      <c r="Y2" s="8">
        <f>COUNTIF(Table_MAI[Received],"&lt;&gt;None")</f>
        <v>0</v>
      </c>
      <c r="Z2" s="14">
        <f ca="1">TODAY()</f>
        <v>43958</v>
      </c>
      <c r="AA2" s="11">
        <f t="shared" ref="AA2" ca="1" si="0">IF(W2="Y","",Z2-TODAY())</f>
        <v>0</v>
      </c>
      <c r="AB2" s="8">
        <f t="shared" ref="AB2" ca="1" si="1">TODAY()-AC2</f>
        <v>0</v>
      </c>
      <c r="AC2" s="14">
        <f ca="1">TODAY()</f>
        <v>43958</v>
      </c>
    </row>
    <row r="3" spans="1:29" ht="15" customHeight="1" x14ac:dyDescent="0.25">
      <c r="A3"/>
      <c r="B3"/>
      <c r="C3"/>
      <c r="D3"/>
      <c r="E3"/>
      <c r="F3"/>
      <c r="G3"/>
      <c r="H3"/>
      <c r="I3"/>
      <c r="J3"/>
      <c r="K3"/>
      <c r="M3"/>
      <c r="N3"/>
      <c r="O3"/>
      <c r="P3"/>
      <c r="Q3"/>
      <c r="R3"/>
      <c r="S3"/>
      <c r="T3"/>
      <c r="Z3" s="10"/>
    </row>
    <row r="4" spans="1:29" ht="15" customHeight="1" x14ac:dyDescent="0.25">
      <c r="A4"/>
      <c r="B4"/>
      <c r="C4"/>
      <c r="D4"/>
      <c r="E4"/>
      <c r="F4"/>
      <c r="G4"/>
      <c r="H4"/>
      <c r="I4"/>
      <c r="J4"/>
      <c r="K4"/>
      <c r="M4"/>
      <c r="N4"/>
      <c r="O4"/>
      <c r="P4"/>
      <c r="Q4"/>
      <c r="R4"/>
      <c r="S4"/>
      <c r="T4"/>
    </row>
    <row r="5" spans="1:29" ht="15" customHeight="1" x14ac:dyDescent="0.25">
      <c r="A5"/>
      <c r="B5"/>
      <c r="C5"/>
      <c r="D5"/>
      <c r="E5"/>
      <c r="F5"/>
      <c r="G5"/>
      <c r="H5"/>
      <c r="I5"/>
      <c r="J5"/>
      <c r="K5"/>
      <c r="M5"/>
      <c r="N5"/>
      <c r="O5"/>
      <c r="P5"/>
      <c r="Q5"/>
      <c r="R5"/>
      <c r="S5"/>
      <c r="T5"/>
    </row>
    <row r="6" spans="1:29" ht="15" customHeight="1" x14ac:dyDescent="0.25">
      <c r="A6"/>
      <c r="B6"/>
      <c r="C6"/>
      <c r="D6"/>
      <c r="E6"/>
      <c r="F6"/>
      <c r="G6"/>
      <c r="H6"/>
      <c r="I6"/>
      <c r="J6"/>
      <c r="K6"/>
      <c r="M6"/>
      <c r="N6"/>
      <c r="O6"/>
      <c r="P6"/>
      <c r="Q6"/>
      <c r="R6"/>
      <c r="S6"/>
      <c r="T6"/>
    </row>
    <row r="7" spans="1:29" ht="15" customHeight="1" x14ac:dyDescent="0.25">
      <c r="A7"/>
      <c r="B7"/>
      <c r="C7"/>
      <c r="D7"/>
      <c r="E7"/>
      <c r="F7"/>
      <c r="G7"/>
      <c r="H7"/>
      <c r="I7"/>
      <c r="J7"/>
      <c r="K7"/>
      <c r="M7"/>
      <c r="N7"/>
      <c r="O7"/>
      <c r="P7"/>
      <c r="Q7"/>
      <c r="R7"/>
      <c r="S7"/>
      <c r="T7"/>
    </row>
    <row r="8" spans="1:29" ht="15" customHeight="1" x14ac:dyDescent="0.25">
      <c r="A8"/>
      <c r="B8"/>
      <c r="C8"/>
      <c r="D8"/>
      <c r="E8"/>
      <c r="F8"/>
      <c r="G8"/>
      <c r="H8"/>
      <c r="I8"/>
      <c r="J8"/>
      <c r="K8"/>
      <c r="M8"/>
      <c r="N8"/>
      <c r="O8"/>
      <c r="P8"/>
      <c r="Q8"/>
      <c r="R8"/>
      <c r="S8"/>
      <c r="T8"/>
    </row>
    <row r="9" spans="1:29" ht="15" customHeight="1" x14ac:dyDescent="0.25">
      <c r="A9"/>
      <c r="B9"/>
      <c r="C9"/>
      <c r="D9"/>
      <c r="E9"/>
      <c r="F9"/>
      <c r="G9"/>
      <c r="H9"/>
      <c r="I9"/>
      <c r="J9"/>
      <c r="K9"/>
      <c r="M9"/>
      <c r="N9"/>
      <c r="O9"/>
      <c r="P9"/>
      <c r="Q9"/>
      <c r="R9"/>
      <c r="S9"/>
      <c r="T9"/>
    </row>
  </sheetData>
  <conditionalFormatting sqref="O10:O1048576 N1:N2">
    <cfRule type="colorScale" priority="564">
      <colorScale>
        <cfvo type="num" val="0"/>
        <cfvo type="num" val="7"/>
        <color rgb="FF63BE7B"/>
        <color rgb="FFFCFCFF"/>
      </colorScale>
    </cfRule>
  </conditionalFormatting>
  <conditionalFormatting sqref="AC2">
    <cfRule type="beginsWith" dxfId="58" priority="408" operator="beginsWith" text="y">
      <formula>LEFT(AC2,LEN("y"))="y"</formula>
    </cfRule>
    <cfRule type="beginsWith" dxfId="57" priority="409" operator="beginsWith" text="n">
      <formula>LEFT(AC2,LEN("n"))="n"</formula>
    </cfRule>
  </conditionalFormatting>
  <conditionalFormatting sqref="M10:M8961 M1:M2">
    <cfRule type="colorScale" priority="285">
      <colorScale>
        <cfvo type="num" val="0"/>
        <cfvo type="num" val="7"/>
        <cfvo type="num" val="14"/>
        <color rgb="FFF8696B"/>
        <color rgb="FFFFEB84"/>
        <color rgb="FF63BE7B"/>
      </colorScale>
    </cfRule>
  </conditionalFormatting>
  <conditionalFormatting sqref="R10:R99583 G10:J99583 Q2 G2:J2">
    <cfRule type="containsText" dxfId="56" priority="18" operator="containsText" text="Y">
      <formula>NOT(ISERROR(SEARCH("Y",G2)))</formula>
    </cfRule>
  </conditionalFormatting>
  <conditionalFormatting sqref="AA2">
    <cfRule type="colorScale" priority="2">
      <colorScale>
        <cfvo type="num" val="0"/>
        <cfvo type="num" val="7"/>
        <cfvo type="num" val="14"/>
        <color rgb="FFF8696B"/>
        <color rgb="FFFFEB84"/>
        <color rgb="FF63BE7B"/>
      </colorScale>
    </cfRule>
  </conditionalFormatting>
  <conditionalFormatting sqref="G10:J99583 Q2 G2:J2">
    <cfRule type="containsText" dxfId="55" priority="19" operator="containsText" text="N">
      <formula>NOT(ISERROR(SEARCH("N",G2)))</formula>
    </cfRule>
    <cfRule type="cellIs" dxfId="54" priority="20" operator="greaterThan">
      <formula>0</formula>
    </cfRule>
  </conditionalFormatting>
  <hyperlinks>
    <hyperlink ref="A2" r:id="rId1" display="MAI-11906-SW" xr:uid="{221FBF72-8E10-44EA-90BE-BEAEA610BA7E}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Refresh">
                <anchor moveWithCells="1" sizeWithCells="1">
                  <from>
                    <xdr:col>20</xdr:col>
                    <xdr:colOff>228600</xdr:colOff>
                    <xdr:row>0</xdr:row>
                    <xdr:rowOff>47625</xdr:rowOff>
                  </from>
                  <to>
                    <xdr:col>21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OA_email">
                <anchor moveWithCells="1" sizeWithCells="1">
                  <from>
                    <xdr:col>20</xdr:col>
                    <xdr:colOff>381000</xdr:colOff>
                    <xdr:row>4</xdr:row>
                    <xdr:rowOff>9525</xdr:rowOff>
                  </from>
                  <to>
                    <xdr:col>21</xdr:col>
                    <xdr:colOff>295275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FA67-3649-416B-A040-66F05F85EA28}">
  <sheetPr codeName="Sheet1121"/>
  <dimension ref="A1:AA2"/>
  <sheetViews>
    <sheetView zoomScaleNormal="100" workbookViewId="0">
      <selection activeCell="A2" sqref="A2"/>
    </sheetView>
  </sheetViews>
  <sheetFormatPr defaultRowHeight="15" x14ac:dyDescent="0.25"/>
  <cols>
    <col min="1" max="1" width="15.7109375" customWidth="1"/>
    <col min="2" max="2" width="15.7109375" style="8" customWidth="1"/>
    <col min="3" max="3" width="6.7109375" style="10" customWidth="1"/>
    <col min="4" max="8" width="10.7109375" style="23" customWidth="1"/>
    <col min="9" max="9" width="6.7109375" customWidth="1"/>
    <col min="10" max="10" width="5.7109375" style="20" customWidth="1"/>
    <col min="11" max="11" width="5.7109375" style="9" customWidth="1"/>
    <col min="12" max="12" width="6.7109375" style="9" customWidth="1"/>
    <col min="13" max="13" width="6.7109375" style="10" customWidth="1"/>
    <col min="14" max="14" width="34.5703125" style="9" bestFit="1" customWidth="1"/>
    <col min="15" max="15" width="10.7109375" style="27" customWidth="1"/>
    <col min="16" max="16" width="14.140625" style="8" bestFit="1" customWidth="1"/>
    <col min="17" max="17" width="14.140625" style="8" hidden="1" customWidth="1"/>
    <col min="18" max="18" width="10.7109375" style="8" hidden="1" customWidth="1"/>
    <col min="19" max="19" width="10.7109375" style="8" customWidth="1"/>
    <col min="20" max="23" width="9.140625" style="8"/>
    <col min="24" max="24" width="9.7109375" style="8" bestFit="1" customWidth="1"/>
    <col min="25" max="26" width="9.140625" style="8"/>
    <col min="27" max="27" width="9.7109375" style="8" bestFit="1" customWidth="1"/>
    <col min="28" max="16384" width="9.140625" style="8"/>
  </cols>
  <sheetData>
    <row r="1" spans="1:27" x14ac:dyDescent="0.25">
      <c r="A1" s="4" t="s">
        <v>41</v>
      </c>
      <c r="B1" s="4" t="s">
        <v>0</v>
      </c>
      <c r="C1" s="21" t="s">
        <v>27</v>
      </c>
      <c r="D1" s="24" t="s">
        <v>44</v>
      </c>
      <c r="E1" s="24" t="s">
        <v>11</v>
      </c>
      <c r="F1" s="24" t="s">
        <v>12</v>
      </c>
      <c r="G1" s="24" t="s">
        <v>8</v>
      </c>
      <c r="H1" s="24" t="s">
        <v>1</v>
      </c>
      <c r="I1" s="5" t="s">
        <v>2</v>
      </c>
      <c r="J1" s="6" t="s">
        <v>4</v>
      </c>
      <c r="K1" s="6" t="s">
        <v>3</v>
      </c>
      <c r="L1" s="5" t="s">
        <v>22</v>
      </c>
      <c r="M1" s="6" t="s">
        <v>21</v>
      </c>
      <c r="N1" s="7" t="s">
        <v>5</v>
      </c>
      <c r="O1" s="23" t="s">
        <v>42</v>
      </c>
      <c r="P1" s="16" t="s">
        <v>43</v>
      </c>
      <c r="Q1" s="16" t="s">
        <v>18</v>
      </c>
      <c r="R1" s="16" t="s">
        <v>24</v>
      </c>
      <c r="V1" s="8" t="s">
        <v>15</v>
      </c>
      <c r="W1" s="8" t="s">
        <v>14</v>
      </c>
    </row>
    <row r="2" spans="1:27" x14ac:dyDescent="0.25">
      <c r="A2" s="3"/>
      <c r="C2" s="22" t="e">
        <f>IF(LastModDate(Table_MJ[[#This Row],[My PO'#]],"02.Customer_PO")=0,"",LastModDate(Table_MJ[[#This Row],[My PO'#]],"02.Customer_PO"))</f>
        <v>#VALUE!</v>
      </c>
      <c r="D2" s="25" t="str">
        <f>POfileExists(Table_MJ[[#This Row],[My PO'#]],"PO")</f>
        <v>No</v>
      </c>
      <c r="E2" s="25" t="str">
        <f>POfileExists(Table_MJ[[#This Row],[My PO'#]],"vOA")</f>
        <v>No</v>
      </c>
      <c r="F2" s="23" t="s">
        <v>6</v>
      </c>
      <c r="G2" s="26" t="str">
        <f>POFolderNumFiles(Table_MJ[[#This Row],[My PO'#]])</f>
        <v>None</v>
      </c>
      <c r="H2" s="25" t="str">
        <f>POfileExists(Table_MJ[[#This Row],[My PO'#]],"Closed")</f>
        <v>No</v>
      </c>
      <c r="I2" s="30">
        <v>43921</v>
      </c>
      <c r="J2" s="11">
        <f ca="1">IF(Table_MJ[[#This Row],[Shipped]]="Y","",Table_MJ[[#This Row],[Ship Date]]-TODAY())</f>
        <v>-37</v>
      </c>
      <c r="K2" s="11" t="e">
        <f ca="1">IF(NOT(Table_MJ[[#This Row],[Last Shipment]]=""),TODAY()-L2,"")</f>
        <v>#VALUE!</v>
      </c>
      <c r="L2" s="10" t="e">
        <f>IF(LastModDate(Table_MJ[[#This Row],[My PO'#]],"09.Others")=0,"",LastModDate(Table_MJ[[#This Row],[My PO'#]],"09.Others"))</f>
        <v>#VALUE!</v>
      </c>
      <c r="M2" s="9"/>
      <c r="N2" s="12"/>
      <c r="O2" s="25" t="str">
        <f>IF(Table_MJ[[#This Row],[OA]]="Yes",POfileExists(Table_MJ[[#This Row],[My PO'#]],"mOA"),"No VOA")</f>
        <v>No VOA</v>
      </c>
      <c r="P2" s="13" t="s">
        <v>23</v>
      </c>
      <c r="Q2" s="13">
        <f>VLOOKUP(Table_MJ[[#This Row],[Rep]],contacts[],2,FALSE)</f>
        <v>0</v>
      </c>
      <c r="R2" s="13" t="str">
        <f>VLOOKUP(Table_MJ[[#This Row],[Rep]],contacts[],3,FALSE)</f>
        <v/>
      </c>
      <c r="V2" s="8">
        <f>COUNTIF(Table_MJ[Shipped],"n")</f>
        <v>1</v>
      </c>
      <c r="W2" s="8">
        <f>COUNTA(Table_MJ[My PO'#])</f>
        <v>0</v>
      </c>
      <c r="X2" s="14">
        <f ca="1">TODAY()</f>
        <v>43958</v>
      </c>
      <c r="Y2" s="11">
        <f ca="1">IF(T2="Y","",X2-TODAY())</f>
        <v>0</v>
      </c>
      <c r="Z2" s="8">
        <f t="shared" ref="Z2" ca="1" si="0">TODAY()-AA2</f>
        <v>0</v>
      </c>
      <c r="AA2" s="14">
        <f ca="1">TODAY()</f>
        <v>43958</v>
      </c>
    </row>
  </sheetData>
  <conditionalFormatting sqref="J1:J2">
    <cfRule type="colorScale" priority="21">
      <colorScale>
        <cfvo type="num" val="0"/>
        <cfvo type="num" val="7"/>
        <cfvo type="num" val="17"/>
        <color rgb="FFF8696B"/>
        <color rgb="FFFFEB84"/>
        <color rgb="FF63BE7B"/>
      </colorScale>
    </cfRule>
  </conditionalFormatting>
  <conditionalFormatting sqref="K1:K2 L3:L1048576">
    <cfRule type="colorScale" priority="22">
      <colorScale>
        <cfvo type="num" val="0"/>
        <cfvo type="num" val="7"/>
        <color rgb="FF63BE7B"/>
        <color rgb="FFFCFCFF"/>
      </colorScale>
    </cfRule>
  </conditionalFormatting>
  <conditionalFormatting sqref="X2">
    <cfRule type="beginsWith" dxfId="35" priority="19" operator="beginsWith" text="y">
      <formula>LEFT(X2,LEN("y"))="y"</formula>
    </cfRule>
    <cfRule type="beginsWith" dxfId="34" priority="20" operator="beginsWith" text="n">
      <formula>LEFT(X2,LEN("n"))="n"</formula>
    </cfRule>
  </conditionalFormatting>
  <conditionalFormatting sqref="AA2">
    <cfRule type="beginsWith" dxfId="33" priority="17" operator="beginsWith" text="y">
      <formula>LEFT(AA2,LEN("y"))="y"</formula>
    </cfRule>
    <cfRule type="beginsWith" dxfId="32" priority="18" operator="beginsWith" text="n">
      <formula>LEFT(AA2,LEN("n"))="n"</formula>
    </cfRule>
  </conditionalFormatting>
  <conditionalFormatting sqref="O2 C2:H2 D3:H97443">
    <cfRule type="containsText" dxfId="31" priority="15" operator="containsText" text="N">
      <formula>NOT(ISERROR(SEARCH("N",C2)))</formula>
    </cfRule>
  </conditionalFormatting>
  <conditionalFormatting sqref="Z2">
    <cfRule type="colorScale" priority="13">
      <colorScale>
        <cfvo type="num" val="0"/>
        <cfvo type="num" val="7"/>
        <color rgb="FF63BE7B"/>
        <color rgb="FFFCFCFF"/>
      </colorScale>
    </cfRule>
  </conditionalFormatting>
  <conditionalFormatting sqref="Y2">
    <cfRule type="colorScale" priority="9">
      <colorScale>
        <cfvo type="num" val="0"/>
        <cfvo type="num" val="7"/>
        <cfvo type="num" val="14"/>
        <color rgb="FFF8696B"/>
        <color rgb="FFFFEB84"/>
        <color rgb="FF63BE7B"/>
      </colorScale>
    </cfRule>
  </conditionalFormatting>
  <conditionalFormatting sqref="Q3:Q1048576">
    <cfRule type="expression" dxfId="30" priority="4">
      <formula>AND(E3="No",K3&lt;(-5))</formula>
    </cfRule>
  </conditionalFormatting>
  <conditionalFormatting sqref="G1:G2">
    <cfRule type="expression" dxfId="29" priority="586">
      <formula>AND(G1&gt;0,G1&gt;M1)</formula>
    </cfRule>
  </conditionalFormatting>
  <conditionalFormatting sqref="P1:P2">
    <cfRule type="expression" dxfId="28" priority="588">
      <formula>AND(E1="No",J1&lt;(-5))</formula>
    </cfRule>
  </conditionalFormatting>
  <conditionalFormatting sqref="O2 C2 D2:H97443">
    <cfRule type="containsText" dxfId="27" priority="14" operator="containsText" text="Y">
      <formula>NOT(ISERROR(SEARCH("Y",C2)))</formula>
    </cfRule>
  </conditionalFormatting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fresh">
                <anchor moveWithCells="1" sizeWithCells="1">
                  <from>
                    <xdr:col>18</xdr:col>
                    <xdr:colOff>133350</xdr:colOff>
                    <xdr:row>0</xdr:row>
                    <xdr:rowOff>57150</xdr:rowOff>
                  </from>
                  <to>
                    <xdr:col>19</xdr:col>
                    <xdr:colOff>514350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OA_email_Internal">
                <anchor moveWithCells="1" sizeWithCells="1">
                  <from>
                    <xdr:col>18</xdr:col>
                    <xdr:colOff>133350</xdr:colOff>
                    <xdr:row>4</xdr:row>
                    <xdr:rowOff>161925</xdr:rowOff>
                  </from>
                  <to>
                    <xdr:col>19</xdr:col>
                    <xdr:colOff>447675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0CA0E-44A4-4603-9C7C-6D92A35F3AFD}">
  <sheetPr codeName="Sheet71"/>
  <dimension ref="A1:D2"/>
  <sheetViews>
    <sheetView workbookViewId="0">
      <selection activeCell="A3" sqref="A3"/>
    </sheetView>
  </sheetViews>
  <sheetFormatPr defaultRowHeight="15" x14ac:dyDescent="0.25"/>
  <cols>
    <col min="1" max="3" width="20.7109375" customWidth="1"/>
  </cols>
  <sheetData>
    <row r="1" spans="1:4" x14ac:dyDescent="0.25">
      <c r="A1" t="s">
        <v>19</v>
      </c>
      <c r="B1" t="s">
        <v>18</v>
      </c>
      <c r="C1" t="s">
        <v>25</v>
      </c>
      <c r="D1" t="s">
        <v>31</v>
      </c>
    </row>
    <row r="2" spans="1:4" x14ac:dyDescent="0.25">
      <c r="A2" t="s">
        <v>23</v>
      </c>
      <c r="B2" s="3"/>
      <c r="C2" s="13" t="str">
        <f>""</f>
        <v/>
      </c>
      <c r="D2" t="s">
        <v>32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091CF-DAA5-4D01-839D-E7100F22B0D7}">
  <sheetPr codeName="Sheet61"/>
  <dimension ref="A1:C2"/>
  <sheetViews>
    <sheetView workbookViewId="0">
      <selection activeCell="A2" sqref="A2"/>
    </sheetView>
  </sheetViews>
  <sheetFormatPr defaultRowHeight="15" x14ac:dyDescent="0.25"/>
  <cols>
    <col min="1" max="1" width="20.7109375" customWidth="1"/>
    <col min="2" max="3" width="10.7109375" customWidth="1"/>
    <col min="4" max="4" width="9.140625" customWidth="1"/>
    <col min="9" max="9" width="11.42578125" bestFit="1" customWidth="1"/>
  </cols>
  <sheetData>
    <row r="1" spans="1:3" x14ac:dyDescent="0.25">
      <c r="A1" t="s">
        <v>33</v>
      </c>
      <c r="B1" s="2" t="s">
        <v>1</v>
      </c>
      <c r="C1" s="17" t="s">
        <v>9</v>
      </c>
    </row>
    <row r="2" spans="1:3" x14ac:dyDescent="0.25">
      <c r="A2" s="3"/>
      <c r="B2" s="1" t="str">
        <f>POfileExists(A2,"Closed")</f>
        <v>No</v>
      </c>
      <c r="C2" s="18" t="str">
        <f>POfileExists(A2,"Min")</f>
        <v>No</v>
      </c>
    </row>
  </sheetData>
  <conditionalFormatting sqref="B2">
    <cfRule type="containsText" dxfId="9" priority="4" operator="containsText" text="Y">
      <formula>NOT(ISERROR(SEARCH("Y",B2)))</formula>
    </cfRule>
    <cfRule type="containsText" dxfId="8" priority="5" operator="containsText" text="N">
      <formula>NOT(ISERROR(SEARCH("N",B2)))</formula>
    </cfRule>
    <cfRule type="cellIs" dxfId="7" priority="6" operator="greaterThan">
      <formula>0</formula>
    </cfRule>
  </conditionalFormatting>
  <conditionalFormatting sqref="C2">
    <cfRule type="containsText" dxfId="6" priority="1" operator="containsText" text="Y">
      <formula>NOT(ISERROR(SEARCH("Y",C2)))</formula>
    </cfRule>
    <cfRule type="containsText" dxfId="5" priority="2" operator="containsText" text="N">
      <formula>NOT(ISERROR(SEARCH("N",C2)))</formula>
    </cfRule>
    <cfRule type="cellIs" dxfId="4" priority="3" operator="greater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0</xdr:colOff>
                    <xdr:row>0</xdr:row>
                    <xdr:rowOff>133350</xdr:rowOff>
                  </from>
                  <to>
                    <xdr:col>5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0446-F156-433C-9BF8-2E19A790E58F}">
  <sheetPr codeName="Sheet8"/>
  <dimension ref="A1:E2"/>
  <sheetViews>
    <sheetView workbookViewId="0">
      <selection activeCell="A2" sqref="A2"/>
    </sheetView>
  </sheetViews>
  <sheetFormatPr defaultRowHeight="15" x14ac:dyDescent="0.25"/>
  <cols>
    <col min="1" max="1" width="16.5703125" bestFit="1" customWidth="1"/>
    <col min="2" max="2" width="15.5703125" bestFit="1" customWidth="1"/>
    <col min="3" max="3" width="13.5703125" bestFit="1" customWidth="1"/>
  </cols>
  <sheetData>
    <row r="1" spans="1:5" x14ac:dyDescent="0.25">
      <c r="A1" s="28" t="s">
        <v>34</v>
      </c>
      <c r="B1" s="29" t="s">
        <v>28</v>
      </c>
      <c r="C1" s="29" t="s">
        <v>29</v>
      </c>
    </row>
    <row r="2" spans="1:5" x14ac:dyDescent="0.25">
      <c r="A2" s="38"/>
      <c r="B2">
        <f>IFERROR(LEFT(A2,FIND("_",A2)-1),IFERROR(LEFT(A2,FIND("/",A2)-1),A2))</f>
        <v>0</v>
      </c>
      <c r="C2" t="e">
        <f>IFERROR(VLOOKUP(B2,Table_MJ[My PO'#],1,FALSE),IFERROR(VLOOKUP(B2,#REF!,1,FALSE),VLOOKUP(B2,Table_MAI[My PO'#],1,FALSE)))</f>
        <v>#N/A</v>
      </c>
      <c r="E2" t="s">
        <v>45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 Guide</vt:lpstr>
      <vt:lpstr>PO</vt:lpstr>
      <vt:lpstr>INTERNAL PO</vt:lpstr>
      <vt:lpstr>contacts</vt:lpstr>
      <vt:lpstr>Additional F(x)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Ultimate Admin</dc:creator>
  <cp:lastModifiedBy>Ultimate Admin</cp:lastModifiedBy>
  <dcterms:created xsi:type="dcterms:W3CDTF">2018-07-14T16:08:16Z</dcterms:created>
  <dcterms:modified xsi:type="dcterms:W3CDTF">2020-05-07T19:58:02Z</dcterms:modified>
</cp:coreProperties>
</file>