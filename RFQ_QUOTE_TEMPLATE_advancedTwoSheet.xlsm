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2" defaultThemeVersion="166925"/>
  <mc:AlternateContent xmlns:mc="http://schemas.openxmlformats.org/markup-compatibility/2006">
    <mc:Choice Requires="x15">
      <x15ac:absPath xmlns:x15ac="http://schemas.microsoft.com/office/spreadsheetml/2010/11/ac" url="C:\ZZ SW\Msc\AHK Archive\MAI SADE\tools\"/>
    </mc:Choice>
  </mc:AlternateContent>
  <xr:revisionPtr revIDLastSave="28" documentId="13_ncr:1_{566541B6-C990-4B01-A19D-0F47BB0262A9}" xr6:coauthVersionLast="47" xr6:coauthVersionMax="47" xr10:uidLastSave="{40EE8C40-7314-488B-A0CD-18C9C700176B}"/>
  <bookViews>
    <workbookView xWindow="-110" yWindow="-110" windowWidth="19420" windowHeight="11500" firstSheet="7" activeTab="4" xr2:uid="{96BF61A3-6112-43D0-9013-EA0658B3034D}"/>
  </bookViews>
  <sheets>
    <sheet name="InqAndVenQu" sheetId="21" r:id="rId1"/>
    <sheet name="MAIquote" sheetId="3" r:id="rId2"/>
    <sheet name="RFQ_Reqs" sheetId="18" r:id="rId3"/>
    <sheet name="QU_TERMS" sheetId="17" r:id="rId4"/>
    <sheet name="Functions" sheetId="15" r:id="rId5"/>
    <sheet name="RFQ (CALIBRATION)" sheetId="11" r:id="rId6"/>
    <sheet name="Cust ID" sheetId="16" r:id="rId7"/>
    <sheet name="0_MailMergeFields" sheetId="13" r:id="rId8"/>
    <sheet name="COC Options" sheetId="20" r:id="rId9"/>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4" i="21" l="1"/>
  <c r="T33" i="21"/>
  <c r="T38" i="21"/>
  <c r="K4" i="15" l="1"/>
  <c r="K3" i="15"/>
  <c r="L2" i="21"/>
  <c r="K2" i="21"/>
  <c r="AC20" i="3"/>
  <c r="AC21" i="3"/>
  <c r="AC22" i="3"/>
  <c r="AC34" i="3"/>
  <c r="AC33" i="3"/>
  <c r="AD11" i="3" s="1"/>
  <c r="V2" i="3" l="1"/>
  <c r="W2" i="3"/>
  <c r="X2" i="3"/>
  <c r="U2" i="3"/>
  <c r="I2" i="3"/>
  <c r="H2" i="3"/>
  <c r="C2" i="3"/>
  <c r="D3" i="15"/>
  <c r="E3" i="15" s="1"/>
  <c r="F3" i="15" s="1"/>
  <c r="D4" i="15"/>
  <c r="E4" i="15" s="1"/>
  <c r="F4" i="15" s="1"/>
  <c r="T11" i="21"/>
  <c r="AC11" i="3" s="1"/>
  <c r="U11" i="21"/>
  <c r="AC38" i="3"/>
  <c r="N2" i="21"/>
  <c r="T24" i="21" s="1"/>
  <c r="T26" i="21" s="1"/>
  <c r="J2" i="3"/>
  <c r="F2" i="3"/>
  <c r="J2" i="21"/>
  <c r="T2" i="3" a="1"/>
  <c r="AC41" i="3" l="1"/>
  <c r="T41" i="21"/>
  <c r="G2" i="3"/>
  <c r="AC39" i="3"/>
  <c r="T39" i="21"/>
  <c r="T2" i="3"/>
  <c r="B2" i="21"/>
  <c r="T10" i="21"/>
  <c r="AC10" i="3" s="1"/>
  <c r="A8" i="20"/>
  <c r="G2" i="11"/>
  <c r="AC12" i="3" l="1"/>
  <c r="AC29" i="3"/>
  <c r="AE31" i="3"/>
  <c r="AC31" i="3"/>
  <c r="AE13" i="3"/>
  <c r="AC13" i="3"/>
  <c r="AC15" i="3"/>
  <c r="B2" i="3"/>
  <c r="T12" i="21"/>
  <c r="V13" i="21" s="1"/>
  <c r="G3" i="15"/>
  <c r="T13" i="21" l="1"/>
  <c r="F2" i="13"/>
  <c r="G4" i="15"/>
  <c r="L2" i="3" l="1"/>
  <c r="C8" i="18"/>
  <c r="P2" i="3" l="1"/>
  <c r="R2" i="3" l="1"/>
  <c r="D7" i="17"/>
  <c r="D6" i="17"/>
  <c r="C7" i="18"/>
  <c r="D1" i="18"/>
  <c r="D1" i="17" l="1"/>
  <c r="H13" i="11" l="1" a="1"/>
  <c r="H13" i="11" s="1"/>
  <c r="H7" i="11"/>
  <c r="E2" i="16" l="1"/>
  <c r="E3" i="16"/>
  <c r="D2" i="16"/>
  <c r="D3" i="16"/>
  <c r="A2" i="11" l="1"/>
  <c r="H10" i="11" l="1"/>
  <c r="E2" i="13"/>
  <c r="D2" i="21" l="1"/>
  <c r="A2" i="21" s="1"/>
  <c r="O2" i="3"/>
  <c r="AC30" i="3" l="1"/>
  <c r="N2" i="3"/>
  <c r="Q2" i="3"/>
  <c r="D2" i="3"/>
  <c r="A2" i="3"/>
  <c r="AC5" i="3" s="1"/>
  <c r="K2" i="3"/>
  <c r="M2" i="3" l="1"/>
  <c r="T5" i="21"/>
  <c r="S2" i="3" l="1"/>
  <c r="A2" i="13"/>
  <c r="AC24" i="3" l="1"/>
  <c r="AC18" i="3"/>
  <c r="B2" i="13"/>
  <c r="AC25" i="3" l="1"/>
  <c r="AC27" i="3" s="1"/>
  <c r="AC28" i="3" s="1"/>
  <c r="C2" i="13" s="1"/>
  <c r="D2" i="13" l="1"/>
  <c r="AC2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<sst xmlns="http://schemas.openxmlformats.org/spreadsheetml/2006/main" count="213" uniqueCount="139">
  <si>
    <t>FilePrefix</t>
  </si>
  <si>
    <t>RFQ</t>
  </si>
  <si>
    <t>Other RFQ</t>
  </si>
  <si>
    <t>#</t>
  </si>
  <si>
    <t>Inq Part #</t>
  </si>
  <si>
    <t>Inq Desc</t>
  </si>
  <si>
    <t>RFQ Due</t>
  </si>
  <si>
    <t>Cust Need Date</t>
  </si>
  <si>
    <t>QTY</t>
  </si>
  <si>
    <t>UOM</t>
  </si>
  <si>
    <t>Part #</t>
  </si>
  <si>
    <t>Description</t>
  </si>
  <si>
    <t>Net Price</t>
  </si>
  <si>
    <t>Net Ext</t>
  </si>
  <si>
    <t>Lead Time (Weeks)</t>
  </si>
  <si>
    <t>Vendor</t>
  </si>
  <si>
    <t>Docs</t>
  </si>
  <si>
    <t>nontable</t>
  </si>
  <si>
    <t>None</t>
  </si>
  <si>
    <t>ItemCount</t>
  </si>
  <si>
    <t>Customer</t>
  </si>
  <si>
    <t>RFQ #</t>
  </si>
  <si>
    <t>o7 Salute</t>
  </si>
  <si>
    <t>email</t>
  </si>
  <si>
    <t>CC</t>
  </si>
  <si>
    <t>BASE MU</t>
  </si>
  <si>
    <t>N/A</t>
  </si>
  <si>
    <t>DISCOUNT</t>
  </si>
  <si>
    <t>W/ DISC MU</t>
  </si>
  <si>
    <t>FINAL MU</t>
  </si>
  <si>
    <t>Purpose</t>
  </si>
  <si>
    <t>End User</t>
  </si>
  <si>
    <t>Aircraft</t>
  </si>
  <si>
    <t>SUBTOTAL</t>
  </si>
  <si>
    <t>NET</t>
  </si>
  <si>
    <t>TOTAL</t>
  </si>
  <si>
    <t>PROFIT</t>
  </si>
  <si>
    <t>MARGIN</t>
  </si>
  <si>
    <t>TERMS</t>
  </si>
  <si>
    <t>MIN PO</t>
  </si>
  <si>
    <t>Min Profit</t>
  </si>
  <si>
    <t>Min Margin</t>
  </si>
  <si>
    <t>Main Folder</t>
  </si>
  <si>
    <t>File Address</t>
  </si>
  <si>
    <t>Pricing Decimals</t>
  </si>
  <si>
    <t>Quote Due</t>
  </si>
  <si>
    <t>Show Need Date</t>
  </si>
  <si>
    <t>DO NOT TOUCH THIS ROW</t>
  </si>
  <si>
    <t>Price</t>
  </si>
  <si>
    <t>Per</t>
  </si>
  <si>
    <t>Ext Price</t>
  </si>
  <si>
    <t>Markup</t>
  </si>
  <si>
    <t>Freight</t>
  </si>
  <si>
    <t>Ext List</t>
  </si>
  <si>
    <t>Tot Fregiht</t>
  </si>
  <si>
    <t>Tot List</t>
  </si>
  <si>
    <t>Tot Inv</t>
  </si>
  <si>
    <t>*Lead Time</t>
  </si>
  <si>
    <t>Current Lead Time</t>
  </si>
  <si>
    <t>COC Same?</t>
  </si>
  <si>
    <t>(inactive)</t>
  </si>
  <si>
    <t>BASE MU%</t>
  </si>
  <si>
    <t>DISCOUNT%</t>
  </si>
  <si>
    <t>FINAL MU%</t>
  </si>
  <si>
    <t>MFR's Certificate of Conformance</t>
  </si>
  <si>
    <t>(Vendor Response)</t>
  </si>
  <si>
    <t>Lines:</t>
  </si>
  <si>
    <t>OPTIONAL</t>
  </si>
  <si>
    <t>Calibration Certificate</t>
  </si>
  <si>
    <t>Calibration Certificate with Readings</t>
  </si>
  <si>
    <t>Certificate of Conformance</t>
  </si>
  <si>
    <t>Certificate of Conformance (MFR's preferred)</t>
  </si>
  <si>
    <t>Date of Manufacture or Date of Expiration must be listed</t>
  </si>
  <si>
    <t>SDS</t>
  </si>
  <si>
    <t>Test Report</t>
  </si>
  <si>
    <t>COA</t>
  </si>
  <si>
    <t>All items must be purchased in the unit of measure (UOM) listed.</t>
  </si>
  <si>
    <t>All items in stock are subject to prior sale. Pricing is only valid for current stock.</t>
  </si>
  <si>
    <t>We are unable to provide any exact shipping dates. All dates indicated are best estimates, and while we always make a best effort, we will not hold responsibility for manufacturing delays.</t>
  </si>
  <si>
    <t>Delivery will be EXW Origin.</t>
  </si>
  <si>
    <t>Prices are valid until quote expiration. Quote may be terminated in writing before this date.</t>
  </si>
  <si>
    <t>Prices are only valid for the current stock</t>
  </si>
  <si>
    <t>All items are Non-Cancelable and Non-Returnable.</t>
  </si>
  <si>
    <t>All prices are offered in US Dollars.</t>
  </si>
  <si>
    <t>+/- 10%</t>
  </si>
  <si>
    <t>Quote Reference # must be listed on all purchase orders.</t>
  </si>
  <si>
    <t>Shelf life requirements may affect lead time.</t>
  </si>
  <si>
    <t>This quote does not guarantee acceptance of any orders, and we reserve the right to refuse all orders for any reason.</t>
  </si>
  <si>
    <t>By placing a purchase order referencing this quote, you agree to all terms and conditions listed above. All conflicting customer terms will be rejected.</t>
  </si>
  <si>
    <t>Above and attached are the entirety of the quote. Any additional requirements not explicitly mentioned above are not guaranteed to be met.</t>
  </si>
  <si>
    <t>Multi-Line File Prefix</t>
  </si>
  <si>
    <t>Hartwell</t>
  </si>
  <si>
    <t>OtherRFQ+#</t>
  </si>
  <si>
    <t>Combine</t>
  </si>
  <si>
    <t>Final</t>
  </si>
  <si>
    <t>Command</t>
  </si>
  <si>
    <t>SubTotal</t>
  </si>
  <si>
    <t>(RFQ)</t>
  </si>
  <si>
    <t>(OtherRFQ)</t>
  </si>
  <si>
    <t>Tariff</t>
  </si>
  <si>
    <t>[REQUIRED] 1.5% of Quote Total Before Discount</t>
  </si>
  <si>
    <t>(RFQ2)</t>
  </si>
  <si>
    <t>(OtherRFQ2)</t>
  </si>
  <si>
    <t>Discount</t>
  </si>
  <si>
    <t>Line</t>
  </si>
  <si>
    <t>Serial #</t>
  </si>
  <si>
    <t>Customer Ref #</t>
  </si>
  <si>
    <t>Addendum</t>
  </si>
  <si>
    <t>Full Description</t>
  </si>
  <si>
    <t>CALIBRATION ONLY</t>
  </si>
  <si>
    <t>THE FOLLOWING ARE REQUIRED ON THE CERTIFICATE:
1. THE CORRECT P/N, S/N AND CUSTOMER’S REFERENCE #
2. BEFORE AND AFTER DATA
(IF THE BEFORE DATA IS NOT AVAILABLE, PLEASE EXPLAIN WHY)
3. STANDARD VALUE, TOLERANCE AND ACTUAL DATA
4. REPAIR REPORT (IF REPAIRED, AFTER QUOTE APPROVAL)
5. ORIGINAL DOCUMENTATION</t>
  </si>
  <si>
    <t>Num Lines</t>
  </si>
  <si>
    <t>3 letter RFQ Prefix</t>
  </si>
  <si>
    <t>Customer ID</t>
  </si>
  <si>
    <t>Salute</t>
  </si>
  <si>
    <t>Terms</t>
  </si>
  <si>
    <t>Default MU</t>
  </si>
  <si>
    <t>Starting Freight</t>
  </si>
  <si>
    <t>MW-</t>
  </si>
  <si>
    <t>MW2</t>
  </si>
  <si>
    <t>Luigi</t>
  </si>
  <si>
    <t>Net 30 Days</t>
  </si>
  <si>
    <t>mario2@marioworld.shroom</t>
  </si>
  <si>
    <t>mario@marioworld.shroom</t>
  </si>
  <si>
    <t>YS-</t>
  </si>
  <si>
    <t>BF3</t>
  </si>
  <si>
    <t>Mario</t>
  </si>
  <si>
    <t>Recipient</t>
  </si>
  <si>
    <t>min_PO</t>
  </si>
  <si>
    <t>Total</t>
  </si>
  <si>
    <t>COC</t>
  </si>
  <si>
    <t>MailMerge_WordFile</t>
  </si>
  <si>
    <t>C:\ZZ SW\Msc\AHK Archive\MAI SADE\tools\MailMerge\Word_Quote_MailMerge.docm</t>
  </si>
  <si>
    <t>MFR's COC</t>
  </si>
  <si>
    <t>Seller's (not MFR) COC</t>
  </si>
  <si>
    <t>Cal Cert</t>
  </si>
  <si>
    <t>Cal Cert with Readings</t>
  </si>
  <si>
    <t>Test Report, NO MFR COC</t>
  </si>
  <si>
    <t>MFR's COC and Test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</si>
</sst>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quot;$&quot;#,##0.00"/>
    <numFmt numFmtId="165" formatCode="0.0%"/>
    <numFmt numFmtId="166" formatCode="ddd\-d\-mmm"/>
  </numFmts>
  <fonts count="7">
    <font>
      <sz val="11"/>
      <color theme="1"/>
      <name val="Calibri"/>
      <family val="2"/>
      <scheme val="minor"/>
    </font>
    <font>
      <b/>
      <sz val="11"/>
      <color theme="1"/>
      <name val="Calibri"/>
      <family val="2"/>
      <scheme val="minor"/>
    </font>
    <font>
      <sz val="11"/>
      <color rgb="FF9C0006"/>
      <name val="Calibri"/>
      <family val="2"/>
      <scheme val="minor"/>
    </font>
    <font>
      <b/>
      <sz val="11"/>
      <color rgb="FF9C0006"/>
      <name val="Calibri"/>
      <family val="2"/>
      <scheme val="minor"/>
    </font>
    <font>
      <b/>
      <sz val="11"/>
      <color theme="0"/>
      <name val="Calibri"/>
      <family val="2"/>
      <scheme val="minor"/>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1"/>
        <bgColor theme="1"/>
      </patternFill>
    </fill>
    <fill>
      <patternFill patternType="solid">
        <fgColor rgb="FFFF0000"/>
        <bgColor indexed="64"/>
      </patternFill>
    </fill>
  </fills>
  <borders count="4">
    <border>
      <left/>
      <right/>
      <top/>
      <bottom/>
      <diagonal/>
    </border>
    <border>
      <left style="thin">
        <color theme="4" tint="0.39994506668294322"/>
      </left>
      <right style="thin">
        <color theme="4" tint="0.39994506668294322"/>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s>
  <cellStyleXfs count="4">
    <xf numFmtId="0" fontId="0" fillId="0" borderId="0"/>
    <xf numFmtId="0" fontId="2" fillId="2" borderId="0" applyNumberFormat="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42">
    <xf numFmtId="0" fontId="0" fillId="0" borderId="0" xfId="0"/>
    <xf numFmtId="0" fontId="1" fillId="0" borderId="0" xfId="0" applyFont="1"/>
    <xf numFmtId="0" fontId="0" fillId="0" borderId="0" xfId="0" applyAlignment="1">
      <alignment vertical="top"/>
    </xf>
    <xf numFmtId="0" fontId="1" fillId="0" borderId="0" xfId="0" applyFont="1" applyAlignment="1">
      <alignment horizontal="left" vertical="top"/>
    </xf>
    <xf numFmtId="1" fontId="0" fillId="0" borderId="0" xfId="0" applyNumberFormat="1" applyAlignment="1">
      <alignment vertical="top"/>
    </xf>
    <xf numFmtId="49" fontId="0" fillId="0" borderId="0" xfId="0" applyNumberFormat="1" applyAlignment="1">
      <alignment vertical="top"/>
    </xf>
    <xf numFmtId="164" fontId="0" fillId="0" borderId="0" xfId="0" applyNumberFormat="1" applyAlignment="1">
      <alignment vertical="top"/>
    </xf>
    <xf numFmtId="0" fontId="1" fillId="0" borderId="0" xfId="0" applyFont="1" applyAlignment="1">
      <alignment vertical="top"/>
    </xf>
    <xf numFmtId="10" fontId="0" fillId="0" borderId="0" xfId="0" applyNumberFormat="1" applyAlignment="1">
      <alignment vertical="top"/>
    </xf>
    <xf numFmtId="0" fontId="3" fillId="2" borderId="0" xfId="1" applyFont="1" applyBorder="1" applyAlignment="1">
      <alignment vertical="top"/>
    </xf>
    <xf numFmtId="0" fontId="2" fillId="2" borderId="0" xfId="1" applyBorder="1" applyAlignment="1">
      <alignment vertical="top"/>
    </xf>
    <xf numFmtId="3" fontId="0" fillId="0" borderId="0" xfId="0" applyNumberFormat="1" applyAlignment="1">
      <alignment vertical="top"/>
    </xf>
    <xf numFmtId="164" fontId="0" fillId="0" borderId="0" xfId="0" applyNumberFormat="1"/>
    <xf numFmtId="1" fontId="0" fillId="0" borderId="0" xfId="0" applyNumberFormat="1"/>
    <xf numFmtId="165" fontId="0" fillId="0" borderId="0" xfId="0" applyNumberFormat="1" applyAlignment="1">
      <alignment vertical="top"/>
    </xf>
    <xf numFmtId="0" fontId="0" fillId="3" borderId="2" xfId="0" applyFill="1" applyBorder="1" applyAlignment="1">
      <alignment vertical="top"/>
    </xf>
    <xf numFmtId="165" fontId="0" fillId="3" borderId="2" xfId="0" applyNumberFormat="1" applyFill="1" applyBorder="1" applyAlignment="1">
      <alignment vertical="top"/>
    </xf>
    <xf numFmtId="0" fontId="0" fillId="0" borderId="0" xfId="0" applyAlignment="1">
      <alignment vertical="center"/>
    </xf>
    <xf numFmtId="9" fontId="0" fillId="0" borderId="0" xfId="0" applyNumberFormat="1" applyAlignment="1">
      <alignment vertical="top"/>
    </xf>
    <xf numFmtId="9" fontId="0" fillId="0" borderId="0" xfId="0" applyNumberFormat="1"/>
    <xf numFmtId="10" fontId="0" fillId="0" borderId="0" xfId="0" applyNumberFormat="1"/>
    <xf numFmtId="164" fontId="0" fillId="3" borderId="0" xfId="0" applyNumberFormat="1" applyFill="1" applyAlignment="1">
      <alignment vertical="top"/>
    </xf>
    <xf numFmtId="0" fontId="4" fillId="4" borderId="3" xfId="0" applyFont="1" applyFill="1" applyBorder="1"/>
    <xf numFmtId="0" fontId="5" fillId="0" borderId="0" xfId="2" applyBorder="1" applyAlignment="1">
      <alignment vertical="top"/>
    </xf>
    <xf numFmtId="0" fontId="0" fillId="0" borderId="0" xfId="0" applyAlignment="1">
      <alignment vertical="top" wrapText="1"/>
    </xf>
    <xf numFmtId="0" fontId="0" fillId="3" borderId="0" xfId="0" applyFill="1" applyAlignment="1">
      <alignment vertical="top"/>
    </xf>
    <xf numFmtId="0" fontId="0" fillId="5" borderId="0" xfId="0" applyFill="1" applyAlignment="1">
      <alignment vertical="top"/>
    </xf>
    <xf numFmtId="0" fontId="0" fillId="0" borderId="0" xfId="0" quotePrefix="1"/>
    <xf numFmtId="0" fontId="0" fillId="0" borderId="1" xfId="0" applyBorder="1" applyAlignment="1">
      <alignment vertical="top"/>
    </xf>
    <xf numFmtId="10" fontId="0" fillId="3" borderId="2" xfId="0" applyNumberFormat="1" applyFill="1" applyBorder="1" applyAlignment="1">
      <alignment vertical="top"/>
    </xf>
    <xf numFmtId="14" fontId="0" fillId="0" borderId="0" xfId="0" applyNumberFormat="1" applyAlignment="1">
      <alignment vertical="top"/>
    </xf>
    <xf numFmtId="0" fontId="0" fillId="0" borderId="0" xfId="0" applyAlignment="1">
      <alignment horizontal="left" vertical="top"/>
    </xf>
    <xf numFmtId="14" fontId="0" fillId="0" borderId="0" xfId="0" applyNumberFormat="1"/>
    <xf numFmtId="44" fontId="0" fillId="0" borderId="0" xfId="0" applyNumberFormat="1"/>
    <xf numFmtId="0" fontId="0" fillId="3" borderId="0" xfId="0" applyFill="1" applyAlignment="1">
      <alignment horizontal="left" vertical="top"/>
    </xf>
    <xf numFmtId="0" fontId="1" fillId="0" borderId="0" xfId="0" applyFont="1" applyAlignment="1">
      <alignment horizontal="right" vertical="top"/>
    </xf>
    <xf numFmtId="166" fontId="0" fillId="0" borderId="0" xfId="0" applyNumberFormat="1"/>
    <xf numFmtId="44" fontId="0" fillId="0" borderId="0" xfId="0" applyNumberFormat="1" applyAlignment="1">
      <alignment vertical="top"/>
    </xf>
    <xf numFmtId="44" fontId="0" fillId="3" borderId="2" xfId="0" applyNumberFormat="1" applyFill="1" applyBorder="1" applyAlignment="1">
      <alignment vertical="top"/>
    </xf>
    <xf numFmtId="49" fontId="0" fillId="3" borderId="0" xfId="0" applyNumberFormat="1" applyFill="1"/>
    <xf numFmtId="0" fontId="5" fillId="0" borderId="0" xfId="3"/>
    <xf numFmtId="0" fontId="0" fillId="0" borderId="3" xfId="0" applyBorder="1"/>
  </cellXfs>
  <cellStyles count="4">
    <cellStyle name="Hyperlink" xfId="3" xr:uid="{00000000-000B-0000-0000-000008000000}"/>
    <cellStyle name="ハイパーリンク" xfId="2" builtinId="8"/>
    <cellStyle name="悪い" xfId="1" builtinId="27"/>
    <cellStyle name="標準" xfId="0" builtinId="0"/>
  </cellStyles>
  <dxfs count="99">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dxf>
    <dxf>
      <numFmt numFmtId="164" formatCode="&quot;$&quot;#,##0.00"/>
    </dxf>
    <dxf>
      <numFmt numFmtId="14" formatCode="0.00%"/>
    </dxf>
    <dxf>
      <numFmt numFmtId="164" formatCode="&quot;$&quot;#,##0.00"/>
    </dxf>
    <dxf>
      <numFmt numFmtId="13" formatCode="0%"/>
    </dxf>
    <dxf>
      <numFmt numFmtId="0" formatCode="General"/>
    </dxf>
    <dxf>
      <numFmt numFmtId="0" formatCode="General"/>
    </dxf>
    <dxf>
      <numFmt numFmtId="1" formatCode="0"/>
      <alignment horizontal="general" vertical="top" textRotation="0" wrapText="0" indent="0" justifyLastLine="0" shrinkToFit="0" readingOrder="0"/>
    </dxf>
    <dxf>
      <numFmt numFmtId="1" formatCode="0"/>
      <alignment horizontal="general" vertical="top" textRotation="0" wrapText="0" indent="0" justifyLastLine="0" shrinkToFit="0" readingOrder="0"/>
    </dxf>
    <dxf>
      <numFmt numFmtId="30" formatCode="@"/>
      <alignment vertical="top" textRotation="0" wrapText="0" indent="0" justifyLastLine="0" shrinkToFit="0" readingOrder="0"/>
    </dxf>
    <dxf>
      <numFmt numFmtId="30" formatCode="@"/>
      <alignment vertical="top" textRotation="0" wrapText="0" indent="0" justifyLastLine="0" shrinkToFit="0" readingOrder="0"/>
    </dxf>
    <dxf>
      <numFmt numFmtId="1" formatCode="0"/>
      <alignment vertical="top" textRotation="0" wrapText="0" indent="0" justifyLastLine="0" shrinkToFit="0" readingOrder="0"/>
    </dxf>
    <dxf>
      <numFmt numFmtId="1" formatCode="0"/>
      <alignment vertical="top" textRotation="0" wrapText="0" indent="0" justifyLastLine="0" shrinkToFit="0" readingOrder="0"/>
    </dxf>
    <dxf>
      <font>
        <b/>
      </font>
      <numFmt numFmtId="0" formatCode="General"/>
      <alignment horizontal="left" vertical="top" textRotation="0" wrapText="0" indent="0" justifyLastLine="0" shrinkToFit="0" readingOrder="0"/>
    </dxf>
    <dxf>
      <border diagonalUp="0" diagonalDown="0">
        <left/>
        <right/>
        <top/>
        <bottom/>
      </border>
    </dxf>
    <dxf>
      <alignment vertical="top" textRotation="0" wrapText="0" indent="0" justifyLastLine="0" shrinkToFit="0" readingOrder="0"/>
    </dxf>
    <dxf>
      <alignment vertical="top" textRotation="0" wrapText="0" indent="0" justifyLastLine="0" shrinkToFit="0" readingOrder="0"/>
      <border diagonalUp="0" diagonalDown="0" outline="0">
        <left style="thin">
          <color theme="4" tint="0.39994506668294322"/>
        </left>
        <right style="thin">
          <color theme="4" tint="0.39994506668294322"/>
        </right>
        <top/>
        <bottom/>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3" formatCode="#,##0"/>
      <alignment vertical="top" textRotation="0" wrapText="0" indent="0" justifyLastLine="0" shrinkToFit="0" readingOrder="0"/>
    </dxf>
    <dxf>
      <numFmt numFmtId="164" formatCode="&quot;$&quot;#,##0.00"/>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3" formatCode="#,##0"/>
      <fill>
        <patternFill patternType="none">
          <fgColor indexed="64"/>
          <bgColor auto="1"/>
        </patternFill>
      </fill>
      <alignment horizontal="general" vertical="top" textRotation="0" wrapText="0" indent="0" justifyLastLine="0" shrinkToFit="0" readingOrder="0"/>
    </dxf>
    <dxf>
      <numFmt numFmtId="19" formatCode="m/d/yyyy"/>
      <fill>
        <patternFill patternType="none">
          <fgColor indexed="64"/>
          <bgColor indexed="65"/>
        </patternFill>
      </fill>
      <alignment horizontal="general" vertical="top" textRotation="0" wrapText="0" indent="0" justifyLastLine="0" shrinkToFit="0" readingOrder="0"/>
    </dxf>
    <dxf>
      <numFmt numFmtId="19" formatCode="m/d/yyyy"/>
      <fill>
        <patternFill patternType="none">
          <fgColor indexed="64"/>
          <bgColor auto="1"/>
        </patternFill>
      </fill>
      <alignment horizontal="general"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solid">
          <fgColor indexed="64"/>
          <bgColor rgb="FFFFFF00"/>
        </patternFill>
      </fill>
      <alignment vertical="top" textRotation="0" wrapText="0" indent="0" justifyLastLine="0" shrinkToFit="0" readingOrder="0"/>
    </dxf>
    <dxf>
      <numFmt numFmtId="13" formatCode="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0" formatCode="General"/>
      <fill>
        <patternFill patternType="none">
          <fgColor indexed="64"/>
          <bgColor auto="1"/>
        </patternFill>
      </fill>
      <alignment vertical="top" textRotation="0" wrapText="0" indent="0" justifyLastLine="0" shrinkToFit="0" readingOrder="0"/>
    </dxf>
    <dxf>
      <numFmt numFmtId="0" formatCode="General"/>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numFmt numFmtId="3" formatCode="#,##0"/>
      <fill>
        <patternFill patternType="none">
          <fgColor indexed="64"/>
          <bgColor auto="1"/>
        </patternFill>
      </fill>
      <alignmen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font>
      <fill>
        <patternFill patternType="none">
          <fgColor indexed="64"/>
          <bgColor auto="1"/>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border diagonalUp="0" diagonalDown="0">
        <left/>
        <right/>
        <top/>
        <bottom/>
      </border>
    </dxf>
    <dxf>
      <alignment vertical="top" textRotation="0" wrapText="0" indent="0" justifyLastLine="0" shrinkToFit="0" readingOrder="0"/>
    </dxf>
    <dxf>
      <alignment vertical="top" textRotation="0" wrapText="0" indent="0" justifyLastLine="0" shrinkToFit="0" readingOrder="0"/>
    </dxf>
    <dxf>
      <fill>
        <patternFill patternType="none">
          <fgColor indexed="64"/>
          <bgColor auto="1"/>
        </patternFill>
      </fill>
      <alignment vertical="top" textRotation="0" wrapText="0" indent="0" justifyLastLine="0" shrinkToFit="0" readingOrder="0"/>
      <border diagonalUp="0" diagonalDown="0" outline="0">
        <left style="thin">
          <color theme="4" tint="0.39994506668294322"/>
        </left>
        <right style="thin">
          <color theme="4" tint="0.39994506668294322"/>
        </right>
        <top/>
        <bottom/>
      </border>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34" formatCode="_(&quot;$&quot;* #,##0.00_);_(&quot;$&quot;* \(#,##0.00\);_(&quot;$&quot;* &quot;-&quot;??_);_(@_)"/>
    </dxf>
    <dxf>
      <numFmt numFmtId="34" formatCode="_(&quot;$&quot;* #,##0.00_);_(&quot;$&quot;* \(#,##0.00\);_(&quot;$&quot;* &quot;-&quot;??_);_(@_)"/>
    </dxf>
    <dxf>
      <numFmt numFmtId="0" formatCode="General"/>
    </dxf>
    <dxf>
      <numFmt numFmtId="19" formatCode="m/d/yyyy"/>
    </dxf>
    <dxf>
      <numFmt numFmtId="166" formatCode="ddd\-d\-mmm"/>
    </dxf>
    <dxf>
      <numFmt numFmtId="30" formatCode="@"/>
      <fill>
        <patternFill patternType="solid">
          <fgColor indexed="64"/>
          <bgColor rgb="FFFFFF00"/>
        </patternFill>
      </fill>
    </dxf>
    <dxf>
      <font>
        <b/>
      </font>
    </dxf>
    <dxf>
      <font>
        <b val="0"/>
      </font>
    </dxf>
    <dxf>
      <font>
        <b/>
      </font>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9"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rgb="FF00B050"/>
        </patternFill>
      </fill>
      <border>
        <vertical style="thin">
          <color theme="0"/>
        </vertical>
      </border>
    </dxf>
    <dxf>
      <border>
        <left style="thin">
          <color theme="8" tint="0.39994506668294322"/>
        </left>
        <right style="thin">
          <color theme="8" tint="0.39994506668294322"/>
        </right>
        <top style="thin">
          <color theme="8" tint="0.39994506668294322"/>
        </top>
        <bottom style="thin">
          <color theme="8" tint="0.39994506668294322"/>
        </bottom>
        <vertical/>
        <horizontal/>
      </border>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8"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rgb="FF0066CC"/>
        </patternFill>
      </fill>
      <border>
        <vertical style="thin">
          <color theme="0"/>
        </vertical>
      </border>
    </dxf>
    <dxf>
      <border>
        <left style="thin">
          <color theme="8" tint="0.39994506668294322"/>
        </left>
        <right style="thin">
          <color theme="8" tint="0.39994506668294322"/>
        </right>
        <top style="thin">
          <color theme="8" tint="0.39994506668294322"/>
        </top>
        <bottom style="thin">
          <color theme="8" tint="0.39994506668294322"/>
        </bottom>
        <vertical/>
        <horizontal/>
      </border>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8"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rgb="FF0066CC"/>
        </patternFill>
      </fill>
      <border>
        <vertical style="thin">
          <color theme="0"/>
        </vertical>
        <horizontal style="thin">
          <color theme="0"/>
        </horizontal>
      </border>
    </dxf>
    <dxf>
      <border>
        <left style="thin">
          <color theme="8"/>
        </left>
        <right style="thin">
          <color theme="8"/>
        </right>
        <top style="thin">
          <color theme="8"/>
        </top>
        <bottom style="thin">
          <color theme="8"/>
        </bottom>
      </border>
    </dxf>
  </dxfs>
  <tableStyles count="3" defaultTableStyle="TableStyleMedium2" defaultPivotStyle="PivotStyleLight16">
    <tableStyle name="MAI ShoWat Horizontal" pivot="0" count="4" xr9:uid="{163378CB-5D07-45A0-8762-7A9D98ABD6D1}">
      <tableStyleElement type="wholeTable" dxfId="98"/>
      <tableStyleElement type="firstColumn" dxfId="97"/>
      <tableStyleElement type="firstRowStripe" dxfId="96"/>
      <tableStyleElement type="secondRowStripe" dxfId="95"/>
    </tableStyle>
    <tableStyle name="MAI Table 1" pivot="0" count="4" xr9:uid="{9F62763C-C52F-4E44-817D-74C18BD26201}">
      <tableStyleElement type="wholeTable" dxfId="94"/>
      <tableStyleElement type="headerRow" dxfId="93"/>
      <tableStyleElement type="firstRowStripe" dxfId="92"/>
      <tableStyleElement type="secondRowStripe" dxfId="91"/>
    </tableStyle>
    <tableStyle name="MAI Table 2" pivot="0" count="4" xr9:uid="{03458615-61DF-46B6-8B2E-0F6EFF1C6AC5}">
      <tableStyleElement type="wholeTable" dxfId="90"/>
      <tableStyleElement type="headerRow" dxfId="89"/>
      <tableStyleElement type="firstRowStripe" dxfId="88"/>
      <tableStyleElement type="secondRowStripe" dxfId="87"/>
    </tableStyle>
  </tableStyles>
  <colors>
    <mruColors>
      <color rgb="FF0066CC"/>
      <color rgb="FF90CAF9"/>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596900</xdr:colOff>
          <xdr:row>0</xdr:row>
          <xdr:rowOff>0</xdr:rowOff>
        </xdr:from>
        <xdr:to>
          <xdr:col>19</xdr:col>
          <xdr:colOff>508000</xdr:colOff>
          <xdr:row>5</xdr:row>
          <xdr:rowOff>25400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RFQ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520700</xdr:colOff>
          <xdr:row>0</xdr:row>
          <xdr:rowOff>6350</xdr:rowOff>
        </xdr:from>
        <xdr:to>
          <xdr:col>20</xdr:col>
          <xdr:colOff>57150</xdr:colOff>
          <xdr:row>5</xdr:row>
          <xdr:rowOff>12700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RFQ Ask Certs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311150</xdr:colOff>
          <xdr:row>2</xdr:row>
          <xdr:rowOff>152400</xdr:rowOff>
        </xdr:from>
        <xdr:to>
          <xdr:col>29</xdr:col>
          <xdr:colOff>6350</xdr:colOff>
          <xdr:row>6</xdr:row>
          <xdr:rowOff>12700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Text  Only </a:t>
              </a:r>
            </a:p>
            <a:p>
              <a:pPr algn="ctr" rtl="0">
                <a:defRPr sz="1000"/>
              </a:pPr>
              <a:r>
                <a:rPr lang="en-US" sz="1100" b="0" i="0" u="none" strike="noStrike" baseline="0">
                  <a:solidFill>
                    <a:srgbClr val="000000"/>
                  </a:solidFill>
                  <a:latin typeface="Calibri"/>
                  <a:ea typeface="Calibri"/>
                  <a:cs typeface="Calibri"/>
                </a:rPr>
                <a:t>(Beta)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2</xdr:row>
          <xdr:rowOff>133350</xdr:rowOff>
        </xdr:from>
        <xdr:to>
          <xdr:col>27</xdr:col>
          <xdr:colOff>704850</xdr:colOff>
          <xdr:row>6</xdr:row>
          <xdr:rowOff>12700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E-mail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704850</xdr:colOff>
          <xdr:row>2</xdr:row>
          <xdr:rowOff>152400</xdr:rowOff>
        </xdr:from>
        <xdr:to>
          <xdr:col>28</xdr:col>
          <xdr:colOff>304800</xdr:colOff>
          <xdr:row>6</xdr:row>
          <xdr:rowOff>19050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MJ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0</xdr:row>
          <xdr:rowOff>0</xdr:rowOff>
        </xdr:from>
        <xdr:to>
          <xdr:col>28</xdr:col>
          <xdr:colOff>298450</xdr:colOff>
          <xdr:row>2</xdr:row>
          <xdr:rowOff>146050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RFQ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311150</xdr:colOff>
          <xdr:row>0</xdr:row>
          <xdr:rowOff>12700</xdr:rowOff>
        </xdr:from>
        <xdr:to>
          <xdr:col>29</xdr:col>
          <xdr:colOff>19050</xdr:colOff>
          <xdr:row>2</xdr:row>
          <xdr:rowOff>146050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RFQ Ask Certs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3</xdr:row>
          <xdr:rowOff>88900</xdr:rowOff>
        </xdr:from>
        <xdr:to>
          <xdr:col>10</xdr:col>
          <xdr:colOff>76200</xdr:colOff>
          <xdr:row>6</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Calibration RFQ e-mail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556218-2677-449D-A821-8164A2084718}" name="InqQu" displayName="InqQu" ref="A1:Q2" totalsRowShown="0">
  <autoFilter ref="A1:Q2" xr:uid="{64556218-2677-449D-A821-8164A2084718}"/>
  <tableColumns count="17">
    <tableColumn id="1" xr3:uid="{B12172DB-B8BD-4566-9F5F-0AE15E3202CE}" name="FilePrefix">
      <calculatedColumnFormula>IF(InqQu[[#This Row],[Other RFQ]]=0,InqQu[[#This Row],[RFQ]]&amp;"__"&amp;InqQu[[#This Row],['#]]&amp;"__",InqQu[[#This Row],[RFQ]]&amp;"__"&amp;InqQu[[#This Row],[Other RFQ]]&amp;"_"&amp;InqQu[[#This Row],['#]]&amp;"__")</calculatedColumnFormula>
    </tableColumn>
    <tableColumn id="16" xr3:uid="{48FCD3A7-F83B-4D8C-9135-E45D4C812240}" name="RFQ" dataDxfId="86">
      <calculatedColumnFormula>$T$11</calculatedColumnFormula>
    </tableColumn>
    <tableColumn id="15" xr3:uid="{738EC90E-24EB-461A-B688-0567E5DE662D}" name="Other RFQ" dataDxfId="85"/>
    <tableColumn id="14" xr3:uid="{D7C6CB4F-7A4F-442D-B7BA-47F5795C5DC9}" name="#" dataDxfId="84">
      <calculatedColumnFormula>IF(OR(D1="#",NOT(C2=C1)),1,D1+1)</calculatedColumnFormula>
    </tableColumn>
    <tableColumn id="13" xr3:uid="{2F89F18C-BE64-4218-AEBD-8C1103FBD466}" name="Inq Part #" dataDxfId="83"/>
    <tableColumn id="7" xr3:uid="{5F30CB3B-D101-4016-941A-8CF781B2592E}" name="Inq Desc"/>
    <tableColumn id="17" xr3:uid="{02275585-CD00-4374-8371-E5907AF0DA76}" name="RFQ Due" dataDxfId="82"/>
    <tableColumn id="11" xr3:uid="{18C7A738-B59D-41CD-9CDD-7309C35C480D}" name="Cust Need Date" dataDxfId="81"/>
    <tableColumn id="2" xr3:uid="{3C184EF6-2A83-485F-A2A2-E975A52F5654}" name="QTY"/>
    <tableColumn id="3" xr3:uid="{4A1647B6-73BC-4F83-9684-749ACAFF12C4}" name="UOM">
      <calculatedColumnFormula>IF(I2&lt;&gt;"","EA","")</calculatedColumnFormula>
    </tableColumn>
    <tableColumn id="4" xr3:uid="{AEF3E425-0E23-409E-AD12-C03A7CB0E722}" name="Part #" dataDxfId="80">
      <calculatedColumnFormula>IF(InqQu[[#This Row],[Inq Part '#]]=0,"",InqQu[[#This Row],[Inq Part '#]])</calculatedColumnFormula>
    </tableColumn>
    <tableColumn id="5" xr3:uid="{FA88EC2E-0639-4B96-B419-35B4C5577F3E}" name="Description">
      <calculatedColumnFormula>IF(InqQu[[#This Row],[Inq Desc]]=0,"",InqQu[[#This Row],[Inq Desc]])</calculatedColumnFormula>
    </tableColumn>
    <tableColumn id="6" xr3:uid="{44EA0564-B063-4AE1-8DB5-53E2AA5CC4D0}" name="Net Price" dataDxfId="79"/>
    <tableColumn id="12" xr3:uid="{29826B7A-7E7B-4CE4-BD0D-6AF8323356D5}" name="Net Ext" dataDxfId="78">
      <calculatedColumnFormula>InqQu[[#This Row],[Net Price]]*InqQu[[#This Row],[QTY]]</calculatedColumnFormula>
    </tableColumn>
    <tableColumn id="8" xr3:uid="{CE66F70E-214E-4A71-9102-865B7C81C3D9}" name="Lead Time (Weeks)"/>
    <tableColumn id="9" xr3:uid="{DCBADE10-B45F-497E-A1FC-61AEF756737F}" name="Vendor"/>
    <tableColumn id="10" xr3:uid="{CFC9663A-2C2B-4CE6-B42D-648BC63D7FE3}" name="Docs"/>
  </tableColumns>
  <tableStyleInfo name="MAI Tab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CCF0FC-17C4-476A-A0BD-5CCCB64BA0DD}" name="Table816" displayName="Table816" ref="S20:T22" headerRowCount="0" headerRowDxfId="77" dataDxfId="76" totalsRowDxfId="75">
  <tableColumns count="2">
    <tableColumn id="1" xr3:uid="{43AB8497-18CC-4404-8AED-9BC6FC835B70}" name="Column1" totalsRowLabel="Total" headerRowDxfId="73" dataDxfId="72" totalsRowDxfId="74"/>
    <tableColumn id="2" xr3:uid="{5FBE8CBF-24B3-4A8E-A2AD-2335F5C342B7}" name="Column2" totalsRowFunction="count" headerRowDxfId="70" dataDxfId="69" totalsRowDxfId="71"/>
  </tableColumns>
  <tableStyleInfo name="MAI ShoWat Horizontal"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B4FCA5-BD85-4902-B05C-A0ECE92A01DE}" name="MAIN_TABLE" displayName="MAIN_TABLE" ref="A1:Z2" headerRowDxfId="68" dataDxfId="67" totalsRowDxfId="66" tableBorderDxfId="65">
  <autoFilter ref="A1:Z2" xr:uid="{B100F7A4-821E-46B1-BE6D-8C2F7E3B6877}"/>
  <tableColumns count="26">
    <tableColumn id="1" xr3:uid="{59FADBC6-A74B-4967-9044-14AA2611CFFF}" name="FilePrefix" totalsRowLabel="Total" dataDxfId="63" totalsRowDxfId="64">
      <calculatedColumnFormula>_xlfn.XLOOKUP(MAIN_TABLE[[#This Row],[Inq Part '#]],InqQu[Inq Part '#],InqQu[FilePrefix],"",0)</calculatedColumnFormula>
    </tableColumn>
    <tableColumn id="25" xr3:uid="{9E5C0C8A-82EA-4618-A5C3-58908B405EAB}" name="RFQ" dataDxfId="61" totalsRowDxfId="62">
      <calculatedColumnFormula>_xlfn.XLOOKUP(MAIN_TABLE[[#This Row],[Inq Part '#]],InqQu[Inq Part '#],InqQu[RFQ],"",0)</calculatedColumnFormula>
    </tableColumn>
    <tableColumn id="23" xr3:uid="{E053C354-D550-4E84-AF2F-BDA0DA5FC440}" name="Other RFQ" dataDxfId="59" totalsRowDxfId="60">
      <calculatedColumnFormula>IF(_xlfn.XLOOKUP(MAIN_TABLE[[#This Row],[Inq Part '#]],InqQu[Inq Part '#],InqQu[Other RFQ],"",0)=0,"",_xlfn.XLOOKUP(MAIN_TABLE[[#This Row],[Inq Part '#]],InqQu[Inq Part '#],InqQu[Other RFQ],"",0))</calculatedColumnFormula>
    </tableColumn>
    <tableColumn id="24" xr3:uid="{D5441F80-DA02-4ED8-AD6E-9F119600980C}" name="#" dataDxfId="57" totalsRowDxfId="58">
      <calculatedColumnFormula>_xlfn.XLOOKUP(MAIN_TABLE[[#This Row],[Inq Part '#]],InqQu[Inq Part '#],InqQu['#],"",0)</calculatedColumnFormula>
    </tableColumn>
    <tableColumn id="26" xr3:uid="{6995A7B6-E3ED-42D7-B321-147CEEB0C65E}" name="Inq Part #" dataDxfId="55" totalsRowDxfId="56"/>
    <tableColumn id="2" xr3:uid="{E62E2AD4-5826-4257-87DC-8D3E0D3E96DB}" name="QTY" dataDxfId="54">
      <calculatedColumnFormula>_xlfn.XLOOKUP(MAIN_TABLE[[#This Row],[Inq Part '#]],InqQu[Inq Part '#],InqQu[QTY],0,0)</calculatedColumnFormula>
    </tableColumn>
    <tableColumn id="3" xr3:uid="{620F444C-D8FD-40CE-A20C-0CCDC9B64563}" name="UOM" dataDxfId="53">
      <calculatedColumnFormula>IF(_xlfn.XLOOKUP(MAIN_TABLE[[#This Row],[Inq Part '#]],InqQu[Inq Part '#],InqQu[UOM],0,0)=0,"",_xlfn.XLOOKUP(MAIN_TABLE[[#This Row],[Inq Part '#]],InqQu[Inq Part '#],InqQu[UOM],0,0))</calculatedColumnFormula>
    </tableColumn>
    <tableColumn id="4" xr3:uid="{1181D74B-D3F8-48DD-A3CB-3E02C3044CED}" name="Part #" dataDxfId="52">
      <calculatedColumnFormula>IF(_xlfn.XLOOKUP(MAIN_TABLE[[#This Row],[Inq Part '#]],InqQu[Inq Part '#],InqQu[Part '#],0,0)=0,"",_xlfn.XLOOKUP(MAIN_TABLE[[#This Row],[Inq Part '#]],InqQu[Inq Part '#],InqQu[Part '#],0,0))</calculatedColumnFormula>
    </tableColumn>
    <tableColumn id="5" xr3:uid="{4C5F7960-F00C-4FFF-B8CC-388DE6EAB320}" name="Description" dataDxfId="51">
      <calculatedColumnFormula>IF(_xlfn.XLOOKUP(MAIN_TABLE[[#This Row],[Inq Part '#]],InqQu[Inq Part '#],InqQu[Description],0,0)=0,"",_xlfn.XLOOKUP(MAIN_TABLE[[#This Row],[Inq Part '#]],InqQu[Inq Part '#],InqQu[Description],0,0))</calculatedColumnFormula>
    </tableColumn>
    <tableColumn id="18" xr3:uid="{13790365-AEB5-4E86-BB39-0B7B514C2F09}" name="Net Price" dataDxfId="50">
      <calculatedColumnFormula>_xlfn.XLOOKUP(MAIN_TABLE[[#This Row],[Inq Part '#]],InqQu[Inq Part '#],InqQu[Net Price],0,0)</calculatedColumnFormula>
    </tableColumn>
    <tableColumn id="6" xr3:uid="{CCDB1F3C-14E4-45D7-8AA9-203BB4BA9EE3}" name="Price" dataDxfId="49">
      <calculatedColumnFormula>IFERROR(InvoicePricer(N2,Q2,J2,R2,$AC$31,$AE$31,$AC$36),0)</calculatedColumnFormula>
    </tableColumn>
    <tableColumn id="7" xr3:uid="{3AC70985-7803-42AF-B32C-6F8266F432F4}" name="Per" dataDxfId="48">
      <calculatedColumnFormula>IF(J2&lt;&gt;"",MAIN_TABLE[UOM],"")</calculatedColumnFormula>
    </tableColumn>
    <tableColumn id="12" xr3:uid="{50BE646F-2F9B-4194-89E1-37C9F5435D5D}" name="Ext Price" totalsRowFunction="sum" dataDxfId="47">
      <calculatedColumnFormula>ROUNDUP(MAIN_TABLE[[#This Row],[QTY]]*MAIN_TABLE[[#This Row],[Price]],2)</calculatedColumnFormula>
    </tableColumn>
    <tableColumn id="10" xr3:uid="{F95CD9F5-FFA6-406A-B0A7-E465FAE10A3D}" name="Markup" dataDxfId="46">
      <calculatedColumnFormula>$AC$17</calculatedColumnFormula>
    </tableColumn>
    <tableColumn id="15" xr3:uid="{3EB589BA-6BD9-4C12-842C-CA11E858FAF6}" name="Freight" dataDxfId="45">
      <calculatedColumnFormula>IF(ROW(MAIN_TABLE[[#This Row],[Freight]])=2,IFERROR(VLOOKUP(AC10,CustID[[Customer ID]:[Starting Freight]],9,FALSE),50),0)</calculatedColumnFormula>
    </tableColumn>
    <tableColumn id="11" xr3:uid="{65CE78C7-8DFD-4B22-9EB4-17DD8300582D}" name="Ext List" dataDxfId="44">
      <calculatedColumnFormula>MAIN_TABLE[[#This Row],[QTY]]*MAIN_TABLE[[#This Row],[Net Price]]</calculatedColumnFormula>
    </tableColumn>
    <tableColumn id="16" xr3:uid="{3CB7E650-27CC-4F6D-9D1E-474212C7C148}" name="Tot Fregiht" dataDxfId="43">
      <calculatedColumnFormula>SUM(MAIN_TABLE[Freight])</calculatedColumnFormula>
    </tableColumn>
    <tableColumn id="13" xr3:uid="{67F5DFF6-BE56-48E4-8B0A-BC5CBD75AEF1}" name="Tot List" dataDxfId="42">
      <calculatedColumnFormula>SUM(MAIN_TABLE[Ext List])</calculatedColumnFormula>
    </tableColumn>
    <tableColumn id="14" xr3:uid="{C74D7D43-0D32-4EE7-8765-BCCFC0A785E1}" name="Tot Inv" dataDxfId="41">
      <calculatedColumnFormula>SUM(MAIN_TABLE[Ext Price])</calculatedColumnFormula>
    </tableColumn>
    <tableColumn id="8" xr3:uid="{A9103C34-AE63-4E8E-AF61-99F7E1DE5EA5}" name="*Lead Time" dataDxfId="40">
      <calculatedColumnFormula array="1">LeadTimeText(MAIN_TABLE[[#This Row],[Lead Time (Weeks)]])</calculatedColumnFormula>
    </tableColumn>
    <tableColumn id="22" xr3:uid="{227BBE1E-DE85-4A49-A378-D98FBD539061}" name="Cust Need Date" dataDxfId="39">
      <calculatedColumnFormula>IF(_xlfn.XLOOKUP(MAIN_TABLE[[#This Row],[Inq Part '#]],InqQu[Inq Part '#],InqQu[Cust Need Date],0,0)=0,"",_xlfn.XLOOKUP(MAIN_TABLE[[#This Row],[Inq Part '#]],InqQu[Inq Part '#],InqQu[Cust Need Date],0,0))</calculatedColumnFormula>
    </tableColumn>
    <tableColumn id="19" xr3:uid="{9C45123D-29A5-43BD-8998-37A769193EA0}" name="Lead Time (Weeks)" dataDxfId="38">
      <calculatedColumnFormula>IF(_xlfn.XLOOKUP(MAIN_TABLE[[#This Row],[Inq Part '#]],InqQu[Inq Part '#],InqQu[Lead Time (Weeks)],0,0)=0,"",_xlfn.XLOOKUP(MAIN_TABLE[[#This Row],[Inq Part '#]],InqQu[Inq Part '#],InqQu[Lead Time (Weeks)],0,0))</calculatedColumnFormula>
    </tableColumn>
    <tableColumn id="17" xr3:uid="{44658B7C-42C1-4938-B0CE-1789F2FAF571}" name="Vendor" dataDxfId="37">
      <calculatedColumnFormula>IF(_xlfn.XLOOKUP(MAIN_TABLE[[#This Row],[Inq Part '#]],InqQu[Inq Part '#],InqQu[Vendor],0,0)=0,"",_xlfn.XLOOKUP(MAIN_TABLE[[#This Row],[Inq Part '#]],InqQu[Inq Part '#],InqQu[Vendor],0,0))</calculatedColumnFormula>
    </tableColumn>
    <tableColumn id="9" xr3:uid="{47B53828-EDDF-4BC7-8A9A-45A5EF783D8C}" name="Docs" totalsRowFunction="count" dataDxfId="36">
      <calculatedColumnFormula>IF(_xlfn.XLOOKUP(MAIN_TABLE[[#This Row],[Inq Part '#]],InqQu[Inq Part '#],InqQu[Docs],0,0)=0,"",_xlfn.XLOOKUP(MAIN_TABLE[[#This Row],[Inq Part '#]],InqQu[Inq Part '#],InqQu[Docs],0,0))</calculatedColumnFormula>
    </tableColumn>
    <tableColumn id="20" xr3:uid="{0F2BB9EE-9430-4C06-98E7-C0568F59B79D}" name="Current Lead Time" dataDxfId="35"/>
    <tableColumn id="21" xr3:uid="{A2D7AEBC-25BA-4D25-935A-8D936604143B}" name="COC Same?" dataDxfId="34"/>
  </tableColumns>
  <tableStyleInfo name="MAI 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BA0B181-EA15-4082-AC01-6277421C4F26}" name="Table86" displayName="Table86" ref="AB20:AC22" headerRowCount="0" headerRowDxfId="33" dataDxfId="32" totalsRowDxfId="31">
  <tableColumns count="2">
    <tableColumn id="1" xr3:uid="{E11D24CD-79B3-4BA2-AD0B-C4E42DEE6690}" name="Column1" totalsRowLabel="Total" headerRowDxfId="29" dataDxfId="28" totalsRowDxfId="30"/>
    <tableColumn id="2" xr3:uid="{9B93B2CE-3E44-442C-A4AE-3EC32B23D97A}" name="Column2" totalsRowFunction="count" headerRowDxfId="26" dataDxfId="25" totalsRowDxfId="27">
      <calculatedColumnFormula>Table816[[#This Row],[Column2]]</calculatedColumnFormula>
    </tableColumn>
  </tableColumns>
  <tableStyleInfo name="MAI ShoWat Horizontal"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465201F-5E34-4D52-BF13-F439BEEAE332}" name="Table413" displayName="Table413" ref="A2:G4" totalsRowShown="0">
  <autoFilter ref="A2:G4" xr:uid="{5465201F-5E34-4D52-BF13-F439BEEAE332}"/>
  <tableColumns count="7">
    <tableColumn id="1" xr3:uid="{94C23E6E-06C0-45BA-B6A2-AC133A461085}" name="RFQ"/>
    <tableColumn id="6" xr3:uid="{8DB7FAB3-6149-4D52-9FF9-B6F2DB95C48E}" name="Other RFQ"/>
    <tableColumn id="2" xr3:uid="{0C467DE7-0155-4C06-8316-F4789F710104}" name="#"/>
    <tableColumn id="7" xr3:uid="{794F74B3-53B5-4A7C-A496-C1B68E9EE834}" name="OtherRFQ+#" dataDxfId="24">
      <calculatedColumnFormula>IF(B3="",C3,B3&amp;"_"&amp;C3)</calculatedColumnFormula>
    </tableColumn>
    <tableColumn id="3" xr3:uid="{B4E759E7-76A2-49FB-B4FA-42FC1A861DFB}" name="Combine" dataDxfId="23">
      <calculatedColumnFormula>IF(A3=A2,E2&amp;D3&amp;"_",A3&amp;"__"&amp;D3&amp;"_")</calculatedColumnFormula>
    </tableColumn>
    <tableColumn id="4" xr3:uid="{607E5C5A-AE28-4983-9759-EF25475F1471}" name="Final" dataDxfId="22">
      <calculatedColumnFormula>IF(A3=A4,"",E3&amp;"_")</calculatedColumnFormula>
    </tableColumn>
    <tableColumn id="5" xr3:uid="{7C81AEEB-83DF-4A36-9422-3F2167ABC0A2}" name="Command" dataDxfId="21">
      <calculatedColumnFormula>IF(F3="",G2,IF(G2="Command",F3,G2&amp;","&amp;F3))</calculatedColumnFormula>
    </tableColumn>
  </tableColumns>
  <tableStyleInfo name="MAI 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19AA2A-02B9-460F-99C5-378F2B08FB11}" name="Table4" displayName="Table4" ref="I2:K4" headerRowCount="0" totalsRowShown="0">
  <tableColumns count="3">
    <tableColumn id="1" xr3:uid="{D2855B25-1DFC-44F2-88CF-18790DCB244B}" name="Hartwell" headerRowDxfId="20"/>
    <tableColumn id="2" xr3:uid="{1535A7BA-22F0-4B38-B7BC-660794406683}" name="Column1"/>
    <tableColumn id="3" xr3:uid="{D3CF0C25-85D9-4B1A-A529-69C4948ACC7C}" name="Column2"/>
  </tableColumns>
  <tableStyleInfo name="MAI ShoWat Horizontal"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8DFFCF-EB11-48C1-97AA-4C4F92FC9E92}" name="Table14785" displayName="Table14785" ref="A1:G2" totalsRowShown="0" headerRowDxfId="19" dataDxfId="18" tableBorderDxfId="17">
  <autoFilter ref="A1:G2" xr:uid="{B100F7A4-821E-46B1-BE6D-8C2F7E3B6877}">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8A9F4AE8-C147-4E3B-AECF-DA894B5F6F19}" name="Line" dataDxfId="16">
      <calculatedColumnFormula>IF(A1="Line",1,A1+1)</calculatedColumnFormula>
    </tableColumn>
    <tableColumn id="4" xr3:uid="{52D74A9A-3DF1-4B1E-B890-BBA83375B7AE}" name="Part #" dataDxfId="15"/>
    <tableColumn id="5" xr3:uid="{C14D0D6F-DA23-4E7C-B323-83C98BBF267B}" name="Description" dataDxfId="14"/>
    <tableColumn id="18" xr3:uid="{AC548C6F-CB3B-4548-9B49-C92F3029BF52}" name="Serial #" dataDxfId="13"/>
    <tableColumn id="8" xr3:uid="{00FA2C91-79E8-44B5-B51D-2E2B6491B067}" name="Customer Ref #" dataDxfId="12"/>
    <tableColumn id="9" xr3:uid="{F86E045E-8158-459E-B845-FB57E679DB27}" name="Addendum" dataDxfId="11"/>
    <tableColumn id="6" xr3:uid="{223C675A-DFAA-4FED-8F32-DA9C85FA2920}" name="Full Description" dataDxfId="10">
      <calculatedColumnFormula>"P/N: "&amp;Table14785[[#This Row],[Part '#]] &amp; CHAR(10) &amp;"DESC: "&amp; Table14785[[#This Row],[Description]] &amp; CHAR(10) &amp; "S/N: " &amp; Table14785[[#This Row],[Serial '#]] &amp; CHAR(10) &amp; "Customer Ref #: " &amp; Table14785[[#This Row],[Customer Ref '#]] &amp; IF(Table14785[[#This Row],[Addendum]]="","",CHAR(10) &amp;Table14785[[#This Row],[Addendum]])</calculatedColumnFormula>
    </tableColumn>
  </tableColumns>
  <tableStyleInfo name="MAI 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24BCAA4-7DDE-4C31-9BF3-6867CBB4ACE9}" name="CustID" displayName="CustID" ref="A1:J3" totalsRowShown="0">
  <autoFilter ref="A1:J3" xr:uid="{DC27165B-42B2-4419-8F9B-ED8555C82205}"/>
  <tableColumns count="10">
    <tableColumn id="6" xr3:uid="{3E09ACCC-F72A-4C22-8035-C0C8D83244DC}" name="3 letter RFQ Prefix"/>
    <tableColumn id="1" xr3:uid="{76F6E633-8701-4C4C-8579-3AA4EEBBAE56}" name="Customer ID"/>
    <tableColumn id="2" xr3:uid="{839A2852-5329-4A9E-AC36-80B3062D1ABC}" name="Salute"/>
    <tableColumn id="3" xr3:uid="{2B98612F-EDF5-4D3A-962B-F05E21A25449}" name="email" dataDxfId="9">
      <calculatedColumnFormula>IFERROR(VLOOKUP(CustID[[#This Row],[Salute]],contacts[],2,FALSE),"")</calculatedColumnFormula>
    </tableColumn>
    <tableColumn id="4" xr3:uid="{5A20822A-CD76-4627-95DB-3A0F9E116F85}" name="CC" dataDxfId="8">
      <calculatedColumnFormula>IFERROR(VLOOKUP(CustID[[#This Row],[Salute]],contacts[],3,FALSE),"")</calculatedColumnFormula>
    </tableColumn>
    <tableColumn id="5" xr3:uid="{BA8C2A98-6211-4189-A949-745B6EEEF687}" name="Terms"/>
    <tableColumn id="7" xr3:uid="{2D706908-5FFF-4C41-85B5-8DF83E4FFDFA}" name="Default MU" dataDxfId="7"/>
    <tableColumn id="8" xr3:uid="{7C45CD12-839D-4ED4-8463-949C2523EB7B}" name="Min Profit" dataDxfId="6"/>
    <tableColumn id="9" xr3:uid="{3B99E7E9-30B4-4FAD-9D9B-725792C33234}" name="Min Margin" dataDxfId="5"/>
    <tableColumn id="10" xr3:uid="{539605F4-62EF-4018-B697-F09137E501B4}" name="Starting Freight" dataDxfId="4"/>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B38E5DB-F527-4021-9411-E3C29FFE1DF4}" name="contacts" displayName="contacts" ref="L1:N3" totalsRowShown="0" dataDxfId="3">
  <autoFilter ref="L1:N3" xr:uid="{95C620A7-2348-479D-91ED-B55C8F1AE146}"/>
  <tableColumns count="3">
    <tableColumn id="1" xr3:uid="{A4409DF7-A12F-40D5-B40B-1271C721C5BB}" name="Salute" dataDxfId="2"/>
    <tableColumn id="2" xr3:uid="{68E9592F-F631-4205-9E70-A1E4292A133E}" name="email" dataDxfId="1"/>
    <tableColumn id="3" xr3:uid="{EB9F3659-7520-4A28-A0D1-4BABEC2457B3}" name="CC"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table" Target="../tables/table4.xml"/><Relationship Id="rId4" Type="http://schemas.openxmlformats.org/officeDocument/2006/relationships/ctrlProp" Target="../ctrlProps/ctrlProp3.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hyperlink" Target="mailto:mario@marioworld.shroom" TargetMode="External"/><Relationship Id="rId2" Type="http://schemas.openxmlformats.org/officeDocument/2006/relationships/hyperlink" Target="mailto:mario@marioworld.shroom" TargetMode="External"/><Relationship Id="rId1" Type="http://schemas.openxmlformats.org/officeDocument/2006/relationships/hyperlink" Target="mailto:mario2@marioworld.shroom" TargetMode="Externa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05A65-CC6C-4F2C-96E6-ADE395048B80}">
  <sheetPr codeName="Sheet12"/>
  <dimension ref="A1:V41"/>
  <sheetViews>
    <sheetView workbookViewId="0">
      <selection activeCell="E2" sqref="E2"/>
    </sheetView>
  </sheetViews>
  <sheetFormatPr defaultRowHeight="14.45"/>
  <cols>
    <col min="1" max="1" width="3.5703125" customWidth="1"/>
    <col min="2" max="3" width="15.5703125" customWidth="1"/>
    <col min="4" max="4" width="4.5703125" customWidth="1"/>
    <col min="5" max="6" width="15.5703125" customWidth="1"/>
    <col min="7" max="7" width="10.5703125" customWidth="1"/>
    <col min="8" max="8" width="15.5703125" customWidth="1"/>
    <col min="9" max="10" width="6.5703125" customWidth="1"/>
    <col min="11" max="12" width="15.5703125" customWidth="1"/>
    <col min="13" max="15" width="10.5703125" customWidth="1"/>
    <col min="16" max="17" width="15.5703125" customWidth="1"/>
    <col min="19" max="19" width="11.85546875" style="2" customWidth="1"/>
    <col min="20" max="20" width="16.140625" style="2" customWidth="1"/>
  </cols>
  <sheetData>
    <row r="1" spans="1:22">
      <c r="A1" t="s">
        <v>0</v>
      </c>
      <c r="B1" t="s">
        <v>1</v>
      </c>
      <c r="C1" t="s">
        <v>2</v>
      </c>
      <c r="D1" t="s">
        <v>3</v>
      </c>
      <c r="E1" t="s">
        <v>4</v>
      </c>
      <c r="F1" t="s">
        <v>5</v>
      </c>
      <c r="G1" t="s">
        <v>6</v>
      </c>
      <c r="H1" t="s">
        <v>7</v>
      </c>
      <c r="I1" t="s">
        <v>8</v>
      </c>
      <c r="J1" t="s">
        <v>9</v>
      </c>
      <c r="K1" t="s">
        <v>10</v>
      </c>
      <c r="L1" t="s">
        <v>11</v>
      </c>
      <c r="M1" t="s">
        <v>12</v>
      </c>
      <c r="N1" t="s">
        <v>13</v>
      </c>
      <c r="O1" t="s">
        <v>14</v>
      </c>
      <c r="P1" t="s">
        <v>15</v>
      </c>
      <c r="Q1" t="s">
        <v>16</v>
      </c>
      <c r="T1" s="2" t="s">
        <v>17</v>
      </c>
    </row>
    <row r="2" spans="1:22">
      <c r="A2" t="e">
        <f ca="1">IF(InqQu[[#This Row],[Other RFQ]]=0,InqQu[[#This Row],[RFQ]]&amp;"__"&amp;InqQu[[#This Row],['#]]&amp;"__",InqQu[[#This Row],[RFQ]]&amp;"__"&amp;InqQu[[#This Row],[Other RFQ]]&amp;"_"&amp;InqQu[[#This Row],['#]]&amp;"__")</f>
        <v>#VALUE!</v>
      </c>
      <c r="B2" s="1" t="e">
        <f ca="1">$T$11</f>
        <v>#VALUE!</v>
      </c>
      <c r="D2" s="1">
        <f>IF(OR(D1="#",NOT(C2=C1)),1,D1+1)</f>
        <v>1</v>
      </c>
      <c r="E2" s="39"/>
      <c r="G2" s="36"/>
      <c r="H2" s="32"/>
      <c r="J2" t="str">
        <f>IF(I2&lt;&gt;"","EA","")</f>
        <v/>
      </c>
      <c r="K2" t="str">
        <f>IF(InqQu[[#This Row],[Inq Part '#]]=0,"",InqQu[[#This Row],[Inq Part '#]])</f>
        <v/>
      </c>
      <c r="L2" t="str">
        <f>IF(InqQu[[#This Row],[Inq Desc]]=0,"",InqQu[[#This Row],[Inq Desc]])</f>
        <v/>
      </c>
      <c r="M2" s="33"/>
      <c r="N2" s="33">
        <f>InqQu[[#This Row],[Net Price]]*InqQu[[#This Row],[QTY]]</f>
        <v>0</v>
      </c>
      <c r="Q2" t="s">
        <v>18</v>
      </c>
    </row>
    <row r="5" spans="1:22">
      <c r="S5" s="2" t="s">
        <v>19</v>
      </c>
      <c r="T5" s="2">
        <f ca="1">COUNTA(InqQu[FilePrefix])</f>
        <v>1</v>
      </c>
    </row>
    <row r="10" spans="1:22">
      <c r="S10" s="7" t="s">
        <v>20</v>
      </c>
      <c r="T10" s="15" t="str">
        <f ca="1">IFERROR(VLOOKUP(MID(T11,1,3),CustID[],2,FALSE),"")</f>
        <v/>
      </c>
    </row>
    <row r="11" spans="1:22">
      <c r="S11" s="7" t="s">
        <v>21</v>
      </c>
      <c r="T11" t="e">
        <f ca="1">SUBSTITUTE(MID(CELL("filename",A1),FIND("[",CELL("filename",A1))+1,FIND("]", CELL("filename",A1))-FIND("[",CELL("filename",A1))-1),".xlsm","")</f>
        <v>#VALUE!</v>
      </c>
      <c r="U11" s="23" t="str">
        <f>HYPERLINK(T31,"Folder Link")</f>
        <v>Folder Link</v>
      </c>
    </row>
    <row r="12" spans="1:22">
      <c r="S12" s="7" t="s">
        <v>22</v>
      </c>
      <c r="T12" t="str">
        <f ca="1">IFERROR(VLOOKUP($T$10,CustID[[Customer ID]:[Default MU]],2,FALSE),"Dear Valued Customer")</f>
        <v>Dear Valued Customer</v>
      </c>
    </row>
    <row r="13" spans="1:22">
      <c r="S13" s="7" t="s">
        <v>23</v>
      </c>
      <c r="T13" t="str">
        <f ca="1">IFERROR(VLOOKUP($T$12,contacts[],2,FALSE),"")</f>
        <v/>
      </c>
      <c r="U13" s="1" t="s">
        <v>24</v>
      </c>
      <c r="V13" t="str">
        <f ca="1">IFERROR(VLOOKUP($T$12,contacts[],3,FALSE),"")</f>
        <v/>
      </c>
    </row>
    <row r="14" spans="1:22">
      <c r="S14" s="7"/>
      <c r="T14"/>
    </row>
    <row r="15" spans="1:22">
      <c r="S15" s="7" t="s">
        <v>25</v>
      </c>
      <c r="T15">
        <v>0</v>
      </c>
      <c r="U15" s="2" t="s">
        <v>26</v>
      </c>
    </row>
    <row r="16" spans="1:22">
      <c r="S16" s="7" t="s">
        <v>27</v>
      </c>
      <c r="T16">
        <v>0</v>
      </c>
      <c r="U16" s="2" t="s">
        <v>26</v>
      </c>
    </row>
    <row r="17" spans="19:21">
      <c r="S17" s="7" t="s">
        <v>28</v>
      </c>
      <c r="T17">
        <v>0</v>
      </c>
      <c r="U17" s="2" t="s">
        <v>26</v>
      </c>
    </row>
    <row r="18" spans="19:21">
      <c r="S18" s="7" t="s">
        <v>29</v>
      </c>
      <c r="T18">
        <v>0</v>
      </c>
      <c r="U18" s="2" t="s">
        <v>26</v>
      </c>
    </row>
    <row r="19" spans="19:21">
      <c r="T19"/>
    </row>
    <row r="20" spans="19:21">
      <c r="S20" s="2" t="s">
        <v>30</v>
      </c>
      <c r="T20"/>
    </row>
    <row r="21" spans="19:21">
      <c r="S21" s="2" t="s">
        <v>31</v>
      </c>
      <c r="T21"/>
    </row>
    <row r="22" spans="19:21">
      <c r="S22" s="2" t="s">
        <v>32</v>
      </c>
      <c r="T22"/>
    </row>
    <row r="23" spans="19:21">
      <c r="T23"/>
    </row>
    <row r="24" spans="19:21">
      <c r="S24" s="7" t="s">
        <v>33</v>
      </c>
      <c r="T24" s="6">
        <f>SUM(InqQu[Net Ext])</f>
        <v>0</v>
      </c>
      <c r="U24" s="2" t="s">
        <v>34</v>
      </c>
    </row>
    <row r="25" spans="19:21">
      <c r="S25" s="7" t="s">
        <v>27</v>
      </c>
      <c r="T25" s="37">
        <v>0</v>
      </c>
      <c r="U25" s="2" t="s">
        <v>34</v>
      </c>
    </row>
    <row r="26" spans="19:21">
      <c r="S26" s="7" t="s">
        <v>35</v>
      </c>
      <c r="T26" s="6">
        <f>T24-T25</f>
        <v>0</v>
      </c>
      <c r="U26" s="2" t="s">
        <v>34</v>
      </c>
    </row>
    <row r="27" spans="19:21">
      <c r="S27" s="7" t="s">
        <v>36</v>
      </c>
      <c r="T27" s="6">
        <v>0</v>
      </c>
      <c r="U27" s="2" t="s">
        <v>26</v>
      </c>
    </row>
    <row r="28" spans="19:21">
      <c r="S28" s="7" t="s">
        <v>37</v>
      </c>
      <c r="T28" s="8">
        <v>0</v>
      </c>
      <c r="U28" s="2" t="s">
        <v>26</v>
      </c>
    </row>
    <row r="29" spans="19:21">
      <c r="S29" s="7" t="s">
        <v>38</v>
      </c>
      <c r="U29" s="2" t="s">
        <v>26</v>
      </c>
    </row>
    <row r="30" spans="19:21">
      <c r="S30" s="7" t="s">
        <v>39</v>
      </c>
      <c r="T30" s="37"/>
      <c r="U30" s="2" t="s">
        <v>15</v>
      </c>
    </row>
    <row r="31" spans="19:21">
      <c r="S31" s="7" t="s">
        <v>40</v>
      </c>
      <c r="T31" s="38"/>
      <c r="U31" s="7" t="s">
        <v>41</v>
      </c>
    </row>
    <row r="32" spans="19:21">
      <c r="U32" s="2"/>
    </row>
    <row r="33" spans="19:21">
      <c r="S33" s="2" t="s">
        <v>42</v>
      </c>
      <c r="T33" s="2" t="e">
        <f ca="1">LEFT(CELL("filename",A1),FIND("[",CELL("filename",A1))-1)</f>
        <v>#VALUE!</v>
      </c>
      <c r="U33" s="2"/>
    </row>
    <row r="34" spans="19:21">
      <c r="S34" s="2" t="s">
        <v>43</v>
      </c>
      <c r="T34" s="2" t="e">
        <f ca="1">SUBSTITUTE( LEFT(CELL("filename",A1),FIND("]",CELL("filename",A1))-1),"[","")</f>
        <v>#VALUE!</v>
      </c>
      <c r="U34" s="2"/>
    </row>
    <row r="35" spans="19:21">
      <c r="U35" s="2"/>
    </row>
    <row r="36" spans="19:21">
      <c r="S36" s="7" t="s">
        <v>44</v>
      </c>
      <c r="T36" s="2">
        <v>2</v>
      </c>
      <c r="U36" s="2"/>
    </row>
    <row r="37" spans="19:21">
      <c r="U37" s="2"/>
    </row>
    <row r="38" spans="19:21">
      <c r="S38" s="7" t="s">
        <v>45</v>
      </c>
      <c r="T38" s="30">
        <f>K36</f>
        <v>0</v>
      </c>
      <c r="U38" s="2"/>
    </row>
    <row r="39" spans="19:21">
      <c r="S39" s="7" t="s">
        <v>46</v>
      </c>
      <c r="T39" s="2" t="b">
        <f>IF(SUM(MAIN_TABLE[Cust Need Date])=0,FALSE,TRUE)</f>
        <v>0</v>
      </c>
      <c r="U39" s="2"/>
    </row>
    <row r="40" spans="19:21">
      <c r="U40" s="2"/>
    </row>
    <row r="41" spans="19:21">
      <c r="S41" s="7" t="s">
        <v>2</v>
      </c>
      <c r="T41" s="2">
        <f>COUNTIF(MAIN_TABLE[Other RFQ],"")</f>
        <v>1</v>
      </c>
      <c r="U41" s="2" t="s">
        <v>47</v>
      </c>
    </row>
  </sheetData>
  <dataValidations disablePrompts="1" count="1">
    <dataValidation type="list" showInputMessage="1" showErrorMessage="1" sqref="T39" xr:uid="{3F479657-F7F2-4F4E-8B3D-A1E12A687FC0}">
      <formula1>"FALSE,TRUE"</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27" r:id="rId4" name="Button 7">
              <controlPr defaultSize="0" print="0" autoFill="0" autoPict="0" macro="[0]!RFQ_email">
                <anchor moveWithCells="1" sizeWithCells="1">
                  <from>
                    <xdr:col>17</xdr:col>
                    <xdr:colOff>596900</xdr:colOff>
                    <xdr:row>0</xdr:row>
                    <xdr:rowOff>0</xdr:rowOff>
                  </from>
                  <to>
                    <xdr:col>19</xdr:col>
                    <xdr:colOff>508000</xdr:colOff>
                    <xdr:row>5</xdr:row>
                    <xdr:rowOff>25400</xdr:rowOff>
                  </to>
                </anchor>
              </controlPr>
            </control>
          </mc:Choice>
        </mc:AlternateContent>
        <mc:AlternateContent xmlns:mc="http://schemas.openxmlformats.org/markup-compatibility/2006">
          <mc:Choice Requires="x14">
            <control shapeId="5128" r:id="rId5" name="Button 8">
              <controlPr defaultSize="0" print="0" autoFill="0" autoPict="0" macro="[0]!RFQ_certsCheck_email">
                <anchor moveWithCells="1" sizeWithCells="1">
                  <from>
                    <xdr:col>19</xdr:col>
                    <xdr:colOff>520700</xdr:colOff>
                    <xdr:row>0</xdr:row>
                    <xdr:rowOff>6350</xdr:rowOff>
                  </from>
                  <to>
                    <xdr:col>20</xdr:col>
                    <xdr:colOff>57150</xdr:colOff>
                    <xdr:row>5</xdr:row>
                    <xdr:rowOff>12700</xdr:rowOff>
                  </to>
                </anchor>
              </controlPr>
            </control>
          </mc:Choice>
        </mc:AlternateContent>
      </controls>
    </mc:Choice>
  </mc:AlternateContent>
  <tableParts count="2">
    <tablePart r:id="rId6"/>
    <tablePart r:id="rId7"/>
  </tableParts>
  <extLst>
    <ext xmlns:x14="http://schemas.microsoft.com/office/spreadsheetml/2009/9/main" uri="{CCE6A557-97BC-4b89-ADB6-D9C93CAAB3DF}">
      <x14:dataValidations xmlns:xm="http://schemas.microsoft.com/office/excel/2006/main" disablePrompts="1" count="1">
        <x14:dataValidation type="list" allowBlank="1" xr:uid="{478C4A1E-32D7-451D-B318-A7F3D1B5967E}">
          <x14:formula1>
            <xm:f>'COC Options'!$A$1:$A$8</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D77E1-96A6-4091-A38F-AFE607E7519B}">
  <sheetPr codeName="Sheet211"/>
  <dimension ref="A1:AE41"/>
  <sheetViews>
    <sheetView showZeros="0" zoomScaleNormal="100" workbookViewId="0">
      <selection activeCell="E2" sqref="E2"/>
    </sheetView>
  </sheetViews>
  <sheetFormatPr defaultColWidth="9.140625" defaultRowHeight="14.45"/>
  <cols>
    <col min="1" max="1" width="3.5703125" style="2" customWidth="1"/>
    <col min="2" max="3" width="15.5703125" style="2" customWidth="1"/>
    <col min="4" max="4" width="4.5703125" style="2" customWidth="1"/>
    <col min="5" max="5" width="15.5703125" style="2" customWidth="1"/>
    <col min="6" max="7" width="6.5703125" style="2" customWidth="1"/>
    <col min="8" max="9" width="15.5703125" style="2" customWidth="1"/>
    <col min="10" max="11" width="10.5703125" style="2" customWidth="1"/>
    <col min="12" max="12" width="5.5703125" style="2" customWidth="1"/>
    <col min="13" max="15" width="10.5703125" style="2" customWidth="1"/>
    <col min="16" max="19" width="9.140625" style="2" hidden="1" customWidth="1"/>
    <col min="20" max="20" width="12.5703125" hidden="1" customWidth="1"/>
    <col min="21" max="21" width="12.5703125" style="2" bestFit="1" customWidth="1"/>
    <col min="22" max="22" width="15.5703125" style="2" customWidth="1"/>
    <col min="23" max="23" width="13.42578125" style="2" customWidth="1"/>
    <col min="25" max="25" width="15.5703125" style="2" hidden="1" customWidth="1"/>
    <col min="26" max="26" width="10.5703125" style="2" hidden="1" customWidth="1"/>
    <col min="27" max="27" width="7.85546875" style="2" customWidth="1"/>
    <col min="28" max="28" width="14.7109375" style="2" bestFit="1" customWidth="1"/>
    <col min="29" max="29" width="15.7109375" style="2" customWidth="1"/>
    <col min="30" max="30" width="11.85546875" style="2" customWidth="1"/>
    <col min="31" max="31" width="6.85546875" style="2" bestFit="1" customWidth="1"/>
    <col min="32" max="32" width="11.85546875" style="2" customWidth="1"/>
    <col min="33" max="33" width="9.140625" style="2" customWidth="1"/>
    <col min="34" max="16384" width="9.140625" style="2"/>
  </cols>
  <sheetData>
    <row r="1" spans="1:31">
      <c r="A1" s="2" t="s">
        <v>0</v>
      </c>
      <c r="B1" s="2" t="s">
        <v>1</v>
      </c>
      <c r="C1" s="2" t="s">
        <v>2</v>
      </c>
      <c r="D1" s="2" t="s">
        <v>3</v>
      </c>
      <c r="E1" s="2" t="s">
        <v>4</v>
      </c>
      <c r="F1" s="2" t="s">
        <v>8</v>
      </c>
      <c r="G1" s="2" t="s">
        <v>9</v>
      </c>
      <c r="H1" s="2" t="s">
        <v>10</v>
      </c>
      <c r="I1" s="2" t="s">
        <v>11</v>
      </c>
      <c r="J1" s="2" t="s">
        <v>12</v>
      </c>
      <c r="K1" s="2" t="s">
        <v>48</v>
      </c>
      <c r="L1" s="2" t="s">
        <v>49</v>
      </c>
      <c r="M1" s="2" t="s">
        <v>50</v>
      </c>
      <c r="N1" s="2" t="s">
        <v>51</v>
      </c>
      <c r="O1" s="2" t="s">
        <v>52</v>
      </c>
      <c r="P1" s="2" t="s">
        <v>53</v>
      </c>
      <c r="Q1" s="2" t="s">
        <v>54</v>
      </c>
      <c r="R1" s="2" t="s">
        <v>55</v>
      </c>
      <c r="S1" s="2" t="s">
        <v>56</v>
      </c>
      <c r="T1" s="2" t="s">
        <v>57</v>
      </c>
      <c r="U1" s="2" t="s">
        <v>7</v>
      </c>
      <c r="V1" s="2" t="s">
        <v>14</v>
      </c>
      <c r="W1" s="2" t="s">
        <v>15</v>
      </c>
      <c r="X1" s="2" t="s">
        <v>16</v>
      </c>
      <c r="Y1" s="2" t="s">
        <v>58</v>
      </c>
      <c r="Z1" s="28" t="s">
        <v>59</v>
      </c>
      <c r="AC1" s="2" t="s">
        <v>17</v>
      </c>
    </row>
    <row r="2" spans="1:31">
      <c r="A2" s="31" t="e">
        <f ca="1">_xlfn.XLOOKUP(MAIN_TABLE[[#This Row],[Inq Part '#]],InqQu[Inq Part '#],InqQu[FilePrefix],"",0)</f>
        <v>#VALUE!</v>
      </c>
      <c r="B2" s="3" t="e">
        <f ca="1">_xlfn.XLOOKUP(MAIN_TABLE[[#This Row],[Inq Part '#]],InqQu[Inq Part '#],InqQu[RFQ],"",0)</f>
        <v>#VALUE!</v>
      </c>
      <c r="C2" s="31" t="str">
        <f>IF(_xlfn.XLOOKUP(MAIN_TABLE[[#This Row],[Inq Part '#]],InqQu[Inq Part '#],InqQu[Other RFQ],"",0)=0,"",_xlfn.XLOOKUP(MAIN_TABLE[[#This Row],[Inq Part '#]],InqQu[Inq Part '#],InqQu[Other RFQ],"",0))</f>
        <v/>
      </c>
      <c r="D2" s="35">
        <f>_xlfn.XLOOKUP(MAIN_TABLE[[#This Row],[Inq Part '#]],InqQu[Inq Part '#],InqQu['#],"",0)</f>
        <v>1</v>
      </c>
      <c r="E2" s="34"/>
      <c r="F2" s="11">
        <f>_xlfn.XLOOKUP(MAIN_TABLE[[#This Row],[Inq Part '#]],InqQu[Inq Part '#],InqQu[QTY],0,0)</f>
        <v>0</v>
      </c>
      <c r="G2" s="4" t="str">
        <f>IF(_xlfn.XLOOKUP(MAIN_TABLE[[#This Row],[Inq Part '#]],InqQu[Inq Part '#],InqQu[UOM],0,0)=0,"",_xlfn.XLOOKUP(MAIN_TABLE[[#This Row],[Inq Part '#]],InqQu[Inq Part '#],InqQu[UOM],0,0))</f>
        <v/>
      </c>
      <c r="H2" s="2" t="str">
        <f>IF(_xlfn.XLOOKUP(MAIN_TABLE[[#This Row],[Inq Part '#]],InqQu[Inq Part '#],InqQu[Part '#],0,0)=0,"",_xlfn.XLOOKUP(MAIN_TABLE[[#This Row],[Inq Part '#]],InqQu[Inq Part '#],InqQu[Part '#],0,0))</f>
        <v/>
      </c>
      <c r="I2" s="24" t="str">
        <f>IF(_xlfn.XLOOKUP(MAIN_TABLE[[#This Row],[Inq Part '#]],InqQu[Inq Part '#],InqQu[Description],0,0)=0,"",_xlfn.XLOOKUP(MAIN_TABLE[[#This Row],[Inq Part '#]],InqQu[Inq Part '#],InqQu[Description],0,0))</f>
        <v/>
      </c>
      <c r="J2" s="6">
        <f>_xlfn.XLOOKUP(MAIN_TABLE[[#This Row],[Inq Part '#]],InqQu[Inq Part '#],InqQu[Net Price],0,0)</f>
        <v>0</v>
      </c>
      <c r="K2" s="6">
        <f ca="1">IFERROR(InvoicePricer(N2,Q2,J2,R2,$AC$31,$AE$31,$AC$36),0)</f>
        <v>0</v>
      </c>
      <c r="L2" s="4" t="str">
        <f>IF(J2&lt;&gt;"",MAIN_TABLE[UOM],"")</f>
        <v/>
      </c>
      <c r="M2" s="6">
        <f ca="1">ROUNDUP(MAIN_TABLE[[#This Row],[QTY]]*MAIN_TABLE[[#This Row],[Price]],2)</f>
        <v>0</v>
      </c>
      <c r="N2" s="18">
        <f>$AC$17</f>
        <v>0</v>
      </c>
      <c r="O2" s="21">
        <f ca="1">IF(ROW(MAIN_TABLE[[#This Row],[Freight]])=2,IFERROR(VLOOKUP(AC10,CustID[[Customer ID]:[Starting Freight]],9,FALSE),50),0)</f>
        <v>50</v>
      </c>
      <c r="P2" s="6">
        <f>MAIN_TABLE[[#This Row],[QTY]]*MAIN_TABLE[[#This Row],[Net Price]]</f>
        <v>0</v>
      </c>
      <c r="Q2" s="6">
        <f ca="1">SUM(MAIN_TABLE[Freight])</f>
        <v>50</v>
      </c>
      <c r="R2" s="6">
        <f>SUM(MAIN_TABLE[Ext List])</f>
        <v>0</v>
      </c>
      <c r="S2" s="6">
        <f ca="1">SUM(MAIN_TABLE[Ext Price])</f>
        <v>0</v>
      </c>
      <c r="T2" s="2" t="e" cm="1">
        <f t="array" aca="1" ref="T2" ca="1">LeadTimeText(MAIN_TABLE[[#This Row],[Lead Time (Weeks)]])</f>
        <v>#NAME?</v>
      </c>
      <c r="U2" s="30" t="str">
        <f>IF(_xlfn.XLOOKUP(MAIN_TABLE[[#This Row],[Inq Part '#]],InqQu[Inq Part '#],InqQu[Cust Need Date],0,0)=0,"",_xlfn.XLOOKUP(MAIN_TABLE[[#This Row],[Inq Part '#]],InqQu[Inq Part '#],InqQu[Cust Need Date],0,0))</f>
        <v/>
      </c>
      <c r="V2" s="11" t="str">
        <f>IF(_xlfn.XLOOKUP(MAIN_TABLE[[#This Row],[Inq Part '#]],InqQu[Inq Part '#],InqQu[Lead Time (Weeks)],0,0)=0,"",_xlfn.XLOOKUP(MAIN_TABLE[[#This Row],[Inq Part '#]],InqQu[Inq Part '#],InqQu[Lead Time (Weeks)],0,0))</f>
        <v/>
      </c>
      <c r="W2" s="6" t="str">
        <f>IF(_xlfn.XLOOKUP(MAIN_TABLE[[#This Row],[Inq Part '#]],InqQu[Inq Part '#],InqQu[Vendor],0,0)=0,"",_xlfn.XLOOKUP(MAIN_TABLE[[#This Row],[Inq Part '#]],InqQu[Inq Part '#],InqQu[Vendor],0,0))</f>
        <v/>
      </c>
      <c r="X2" s="6" t="str">
        <f>IF(_xlfn.XLOOKUP(MAIN_TABLE[[#This Row],[Inq Part '#]],InqQu[Inq Part '#],InqQu[Docs],0,0)=0,"",_xlfn.XLOOKUP(MAIN_TABLE[[#This Row],[Inq Part '#]],InqQu[Inq Part '#],InqQu[Docs],0,0))</f>
        <v>None</v>
      </c>
      <c r="Y2" s="6"/>
      <c r="Z2" s="11" t="s">
        <v>60</v>
      </c>
      <c r="AA2" s="6"/>
    </row>
    <row r="5" spans="1:31">
      <c r="AB5" s="2" t="s">
        <v>19</v>
      </c>
      <c r="AC5" s="2">
        <f ca="1">COUNTA(MAIN_TABLE[FilePrefix])</f>
        <v>1</v>
      </c>
    </row>
    <row r="9" spans="1:31">
      <c r="AD9" s="17"/>
    </row>
    <row r="10" spans="1:31">
      <c r="AB10" s="7" t="s">
        <v>20</v>
      </c>
      <c r="AC10" s="15" t="str">
        <f ca="1">InqAndVenQu!T10</f>
        <v/>
      </c>
    </row>
    <row r="11" spans="1:31">
      <c r="AB11" s="7" t="s">
        <v>21</v>
      </c>
      <c r="AC11" t="e">
        <f ca="1">InqAndVenQu!T11</f>
        <v>#VALUE!</v>
      </c>
      <c r="AD11" s="23" t="e">
        <f ca="1">HYPERLINK(AC33,"Folder Link")</f>
        <v>#VALUE!</v>
      </c>
    </row>
    <row r="12" spans="1:31">
      <c r="AB12" s="7" t="s">
        <v>22</v>
      </c>
      <c r="AC12" s="2" t="str">
        <f ca="1">IFERROR(VLOOKUP($AC$10,CustID[[Customer ID]:[Default MU]],2,FALSE),"Dear Valued Customer")</f>
        <v>Dear Valued Customer</v>
      </c>
    </row>
    <row r="13" spans="1:31">
      <c r="AB13" s="7" t="s">
        <v>23</v>
      </c>
      <c r="AC13" t="str">
        <f ca="1">IFERROR(VLOOKUP($AC$10,CustID[[Customer ID]:[Default MU]],3,FALSE),"")</f>
        <v/>
      </c>
      <c r="AD13" s="7" t="s">
        <v>24</v>
      </c>
      <c r="AE13" t="str">
        <f ca="1">IFERROR(VLOOKUP($AC$10,CustID[[Customer ID]:[Default MU]],4,FALSE),"")</f>
        <v/>
      </c>
    </row>
    <row r="14" spans="1:31">
      <c r="AB14" s="7"/>
    </row>
    <row r="15" spans="1:31">
      <c r="AB15" s="7" t="s">
        <v>61</v>
      </c>
      <c r="AC15" s="16">
        <f ca="1">IFERROR(VLOOKUP($AC$10,CustID[[Customer ID]:[Default MU]],6,FALSE),0.3)</f>
        <v>0.3</v>
      </c>
    </row>
    <row r="16" spans="1:31">
      <c r="AB16" s="7" t="s">
        <v>62</v>
      </c>
      <c r="AC16" s="16"/>
      <c r="AD16" s="6"/>
    </row>
    <row r="17" spans="28:31">
      <c r="AB17" s="7"/>
      <c r="AC17" s="14"/>
    </row>
    <row r="18" spans="28:31">
      <c r="AB18" s="7" t="s">
        <v>63</v>
      </c>
      <c r="AC18" s="14" t="e">
        <f ca="1">S2/R2-1</f>
        <v>#DIV/0!</v>
      </c>
    </row>
    <row r="20" spans="28:31">
      <c r="AB20" s="2" t="s">
        <v>30</v>
      </c>
      <c r="AC20" s="2">
        <f>Table816[[#This Row],[Column2]]</f>
        <v>0</v>
      </c>
    </row>
    <row r="21" spans="28:31">
      <c r="AB21" s="2" t="s">
        <v>31</v>
      </c>
      <c r="AC21" s="2">
        <f>Table816[[#This Row],[Column2]]</f>
        <v>0</v>
      </c>
    </row>
    <row r="22" spans="28:31">
      <c r="AB22" s="2" t="s">
        <v>32</v>
      </c>
      <c r="AC22" s="2">
        <f>Table816[[#This Row],[Column2]]</f>
        <v>0</v>
      </c>
    </row>
    <row r="24" spans="28:31">
      <c r="AB24" s="7" t="s">
        <v>33</v>
      </c>
      <c r="AC24" s="6">
        <f ca="1">S2</f>
        <v>0</v>
      </c>
    </row>
    <row r="25" spans="28:31">
      <c r="AB25" s="7" t="s">
        <v>27</v>
      </c>
      <c r="AC25" s="37">
        <f ca="1">AC24*AC16</f>
        <v>0</v>
      </c>
    </row>
    <row r="26" spans="28:31">
      <c r="AB26" s="7" t="s">
        <v>35</v>
      </c>
      <c r="AC26" s="6">
        <f ca="1">AC24-AC25</f>
        <v>0</v>
      </c>
    </row>
    <row r="27" spans="28:31">
      <c r="AB27" s="7" t="s">
        <v>36</v>
      </c>
      <c r="AC27" s="6">
        <f ca="1">S2-R2-Q2-AC25</f>
        <v>-50</v>
      </c>
    </row>
    <row r="28" spans="28:31">
      <c r="AB28" s="7" t="s">
        <v>37</v>
      </c>
      <c r="AC28" s="8" t="e">
        <f ca="1">AC27/S2</f>
        <v>#DIV/0!</v>
      </c>
    </row>
    <row r="29" spans="28:31">
      <c r="AB29" s="7" t="s">
        <v>38</v>
      </c>
      <c r="AC29" s="2" t="str">
        <f ca="1">IFERROR(VLOOKUP($AC$10,CustID[[Customer ID]:[Min Margin]],5,FALSE),"Full Prepayment")</f>
        <v>Full Prepayment</v>
      </c>
    </row>
    <row r="30" spans="28:31">
      <c r="AB30" s="7" t="s">
        <v>39</v>
      </c>
      <c r="AC30" s="37">
        <f ca="1">IFERROR(ROUNDUP((AC31+MAX(MAIN_TABLE[Freight]))/(1-(1/(1+AC15))),-2),0)</f>
        <v>500</v>
      </c>
    </row>
    <row r="31" spans="28:31">
      <c r="AB31" s="7" t="s">
        <v>40</v>
      </c>
      <c r="AC31" s="38">
        <f ca="1">IFERROR(VLOOKUP($AC$10,CustID[[Customer ID]:[Min Margin]],7,FALSE),50)</f>
        <v>50</v>
      </c>
      <c r="AD31" s="7" t="s">
        <v>41</v>
      </c>
      <c r="AE31" s="29">
        <f ca="1">IFERROR(VLOOKUP($AC$10,CustID[[Customer ID]:[Min Margin]],8,FALSE),0.1)</f>
        <v>0.1</v>
      </c>
    </row>
    <row r="33" spans="28:30">
      <c r="AB33" s="2" t="s">
        <v>42</v>
      </c>
      <c r="AC33" s="2" t="e">
        <f ca="1">LEFT(CELL("filename",A1),FIND("[",CELL("filename",A1))-1)</f>
        <v>#VALUE!</v>
      </c>
    </row>
    <row r="34" spans="28:30">
      <c r="AB34" s="2" t="s">
        <v>43</v>
      </c>
      <c r="AC34" s="2" t="e">
        <f ca="1">SUBSTITUTE( LEFT(CELL("filename",A1),FIND("]",CELL("filename",A1))-1),"[","")</f>
        <v>#VALUE!</v>
      </c>
    </row>
    <row r="36" spans="28:30">
      <c r="AB36" s="7" t="s">
        <v>44</v>
      </c>
      <c r="AC36" s="2">
        <v>2</v>
      </c>
    </row>
    <row r="38" spans="28:30">
      <c r="AB38" s="7" t="s">
        <v>45</v>
      </c>
      <c r="AC38" s="30">
        <f>InqAndVenQu!T36</f>
        <v>2</v>
      </c>
    </row>
    <row r="39" spans="28:30">
      <c r="AB39" s="7" t="s">
        <v>46</v>
      </c>
      <c r="AC39" s="2" t="b">
        <f>IF(SUM(MAIN_TABLE[Cust Need Date])=0,FALSE,TRUE)</f>
        <v>0</v>
      </c>
    </row>
    <row r="41" spans="28:30">
      <c r="AB41" s="7" t="s">
        <v>2</v>
      </c>
      <c r="AC41" s="2">
        <f>COUNTIF(MAIN_TABLE[Other RFQ],"")</f>
        <v>1</v>
      </c>
      <c r="AD41" s="2" t="s">
        <v>47</v>
      </c>
    </row>
  </sheetData>
  <phoneticPr fontId="6" type="noConversion"/>
  <dataValidations count="1">
    <dataValidation type="list" showInputMessage="1" showErrorMessage="1" sqref="AC39" xr:uid="{AD5E463E-3025-412B-9B40-B02AB06D8693}">
      <formula1>"FALSE,TRUE"</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TextOnly_Quote">
                <anchor moveWithCells="1" sizeWithCells="1">
                  <from>
                    <xdr:col>28</xdr:col>
                    <xdr:colOff>311150</xdr:colOff>
                    <xdr:row>2</xdr:row>
                    <xdr:rowOff>152400</xdr:rowOff>
                  </from>
                  <to>
                    <xdr:col>29</xdr:col>
                    <xdr:colOff>6350</xdr:colOff>
                    <xdr:row>6</xdr:row>
                    <xdr:rowOff>12700</xdr:rowOff>
                  </to>
                </anchor>
              </controlPr>
            </control>
          </mc:Choice>
        </mc:AlternateContent>
        <mc:AlternateContent xmlns:mc="http://schemas.openxmlformats.org/markup-compatibility/2006">
          <mc:Choice Requires="x14">
            <control shapeId="1033" r:id="rId5" name="Button 9">
              <controlPr defaultSize="0" print="0" autoFill="0" autoPict="0" macro="[0]!Quote_email">
                <anchor moveWithCells="1" sizeWithCells="1">
                  <from>
                    <xdr:col>27</xdr:col>
                    <xdr:colOff>0</xdr:colOff>
                    <xdr:row>2</xdr:row>
                    <xdr:rowOff>133350</xdr:rowOff>
                  </from>
                  <to>
                    <xdr:col>27</xdr:col>
                    <xdr:colOff>704850</xdr:colOff>
                    <xdr:row>6</xdr:row>
                    <xdr:rowOff>12700</xdr:rowOff>
                  </to>
                </anchor>
              </controlPr>
            </control>
          </mc:Choice>
        </mc:AlternateContent>
        <mc:AlternateContent xmlns:mc="http://schemas.openxmlformats.org/markup-compatibility/2006">
          <mc:Choice Requires="x14">
            <control shapeId="1035" r:id="rId6" name="Button 11">
              <controlPr defaultSize="0" print="0" autoFill="0" autoPict="0" macro="[0]!Quote_email_MJ">
                <anchor moveWithCells="1" sizeWithCells="1">
                  <from>
                    <xdr:col>27</xdr:col>
                    <xdr:colOff>704850</xdr:colOff>
                    <xdr:row>2</xdr:row>
                    <xdr:rowOff>152400</xdr:rowOff>
                  </from>
                  <to>
                    <xdr:col>28</xdr:col>
                    <xdr:colOff>304800</xdr:colOff>
                    <xdr:row>6</xdr:row>
                    <xdr:rowOff>19050</xdr:rowOff>
                  </to>
                </anchor>
              </controlPr>
            </control>
          </mc:Choice>
        </mc:AlternateContent>
        <mc:AlternateContent xmlns:mc="http://schemas.openxmlformats.org/markup-compatibility/2006">
          <mc:Choice Requires="x14">
            <control shapeId="1036" r:id="rId7" name="Button 12">
              <controlPr defaultSize="0" print="0" autoFill="0" autoPict="0" macro="[0]!RFQ_email">
                <anchor moveWithCells="1" sizeWithCells="1">
                  <from>
                    <xdr:col>27</xdr:col>
                    <xdr:colOff>0</xdr:colOff>
                    <xdr:row>0</xdr:row>
                    <xdr:rowOff>0</xdr:rowOff>
                  </from>
                  <to>
                    <xdr:col>28</xdr:col>
                    <xdr:colOff>298450</xdr:colOff>
                    <xdr:row>2</xdr:row>
                    <xdr:rowOff>146050</xdr:rowOff>
                  </to>
                </anchor>
              </controlPr>
            </control>
          </mc:Choice>
        </mc:AlternateContent>
        <mc:AlternateContent xmlns:mc="http://schemas.openxmlformats.org/markup-compatibility/2006">
          <mc:Choice Requires="x14">
            <control shapeId="1037" r:id="rId8" name="Button 13">
              <controlPr defaultSize="0" print="0" autoFill="0" autoPict="0" macro="[0]!RFQ_certsCheck_email">
                <anchor moveWithCells="1" sizeWithCells="1">
                  <from>
                    <xdr:col>28</xdr:col>
                    <xdr:colOff>311150</xdr:colOff>
                    <xdr:row>0</xdr:row>
                    <xdr:rowOff>12700</xdr:rowOff>
                  </from>
                  <to>
                    <xdr:col>29</xdr:col>
                    <xdr:colOff>19050</xdr:colOff>
                    <xdr:row>2</xdr:row>
                    <xdr:rowOff>146050</xdr:rowOff>
                  </to>
                </anchor>
              </controlPr>
            </control>
          </mc:Choice>
        </mc:AlternateContent>
      </controls>
    </mc:Choice>
  </mc:AlternateContent>
  <tableParts count="2">
    <tablePart r:id="rId9"/>
    <tablePart r:id="rId10"/>
  </tableParts>
  <extLst>
    <ext xmlns:x14="http://schemas.microsoft.com/office/spreadsheetml/2009/9/main" uri="{CCE6A557-97BC-4b89-ADB6-D9C93CAAB3DF}">
      <x14:dataValidations xmlns:xm="http://schemas.microsoft.com/office/excel/2006/main" count="1">
        <x14:dataValidation type="list" allowBlank="1" xr:uid="{10368DE3-CC7B-4834-82A9-78FB274F3D87}">
          <x14:formula1>
            <xm:f>'COC Options'!$A$1:$A$8</xm:f>
          </x14:formula1>
          <xm:sqref>X2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91C3-A522-4119-B278-2C781B088A4B}">
  <sheetPr codeName="Sheet81"/>
  <dimension ref="A1:D16"/>
  <sheetViews>
    <sheetView workbookViewId="0"/>
  </sheetViews>
  <sheetFormatPr defaultRowHeight="14.45"/>
  <cols>
    <col min="1" max="1" width="39.5703125" customWidth="1"/>
    <col min="2" max="2" width="45.140625" customWidth="1"/>
    <col min="3" max="3" width="12.42578125" customWidth="1"/>
  </cols>
  <sheetData>
    <row r="1" spans="1:4">
      <c r="A1" t="s">
        <v>64</v>
      </c>
      <c r="B1" t="s">
        <v>65</v>
      </c>
      <c r="C1" t="s">
        <v>66</v>
      </c>
      <c r="D1">
        <f>COUNTA(A:A)</f>
        <v>1</v>
      </c>
    </row>
    <row r="4" spans="1:4">
      <c r="C4" t="s">
        <v>67</v>
      </c>
    </row>
    <row r="5" spans="1:4">
      <c r="C5" t="s">
        <v>68</v>
      </c>
    </row>
    <row r="6" spans="1:4">
      <c r="C6" t="s">
        <v>69</v>
      </c>
    </row>
    <row r="7" spans="1:4">
      <c r="C7" t="str">
        <f>"At least " &amp; D7 &amp; "% shelf life at time of shipment."</f>
        <v>At least 70% shelf life at time of shipment.</v>
      </c>
      <c r="D7">
        <v>70</v>
      </c>
    </row>
    <row r="8" spans="1:4">
      <c r="C8" t="str">
        <f>"If current stock is below " &amp; D8 &amp; "% shelf life, please quote factory new"</f>
        <v>If current stock is below 80% shelf life, please quote factory new</v>
      </c>
      <c r="D8">
        <v>80</v>
      </c>
    </row>
    <row r="10" spans="1:4">
      <c r="C10" t="s">
        <v>70</v>
      </c>
    </row>
    <row r="11" spans="1:4">
      <c r="C11" t="s">
        <v>71</v>
      </c>
    </row>
    <row r="13" spans="1:4">
      <c r="C13" t="s">
        <v>72</v>
      </c>
    </row>
    <row r="14" spans="1:4">
      <c r="C14" t="s">
        <v>73</v>
      </c>
    </row>
    <row r="15" spans="1:4">
      <c r="C15" t="s">
        <v>74</v>
      </c>
    </row>
    <row r="16" spans="1:4">
      <c r="C16" t="s">
        <v>75</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7AC17-688A-436B-A205-C17A5747C694}">
  <sheetPr codeName="Sheet71"/>
  <dimension ref="A1:D11"/>
  <sheetViews>
    <sheetView workbookViewId="0">
      <selection activeCell="A12" sqref="A12"/>
    </sheetView>
  </sheetViews>
  <sheetFormatPr defaultRowHeight="14.45"/>
  <cols>
    <col min="1" max="1" width="84.85546875" customWidth="1"/>
    <col min="3" max="3" width="12.42578125" customWidth="1"/>
  </cols>
  <sheetData>
    <row r="1" spans="1:4">
      <c r="A1" t="s">
        <v>76</v>
      </c>
      <c r="C1" t="s">
        <v>66</v>
      </c>
      <c r="D1">
        <f>COUNTA(A:A)</f>
        <v>11</v>
      </c>
    </row>
    <row r="2" spans="1:4">
      <c r="A2" t="s">
        <v>77</v>
      </c>
    </row>
    <row r="3" spans="1:4">
      <c r="A3" t="s">
        <v>78</v>
      </c>
    </row>
    <row r="4" spans="1:4">
      <c r="A4" t="s">
        <v>79</v>
      </c>
      <c r="C4" t="s">
        <v>67</v>
      </c>
    </row>
    <row r="5" spans="1:4">
      <c r="A5" t="s">
        <v>80</v>
      </c>
      <c r="C5" t="s">
        <v>81</v>
      </c>
    </row>
    <row r="6" spans="1:4">
      <c r="A6" t="s">
        <v>82</v>
      </c>
      <c r="C6">
        <v>50</v>
      </c>
      <c r="D6" t="str">
        <f>C6&amp;"% of shelf life is guaranteed at time of vendor shipment."</f>
        <v>50% of shelf life is guaranteed at time of vendor shipment.</v>
      </c>
    </row>
    <row r="7" spans="1:4">
      <c r="A7" t="s">
        <v>83</v>
      </c>
      <c r="C7" s="27" t="s">
        <v>84</v>
      </c>
      <c r="D7" t="str">
        <f>"QTY tolerance of "&amp;C7&amp;" will apply. All overships shall be paid for by the customer, and all shortages will not be covered."</f>
        <v>QTY tolerance of +/- 10% will apply. All overships shall be paid for by the customer, and all shortages will not be covered.</v>
      </c>
    </row>
    <row r="8" spans="1:4">
      <c r="A8" t="s">
        <v>85</v>
      </c>
      <c r="D8" t="s">
        <v>86</v>
      </c>
    </row>
    <row r="9" spans="1:4">
      <c r="A9" t="s">
        <v>87</v>
      </c>
    </row>
    <row r="10" spans="1:4">
      <c r="A10" t="s">
        <v>88</v>
      </c>
    </row>
    <row r="11" spans="1:4">
      <c r="A11" t="s">
        <v>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036E8-B01E-4E20-B125-D4ED7A1C9D22}">
  <sheetPr codeName="Sheet611"/>
  <dimension ref="A1:AS46"/>
  <sheetViews>
    <sheetView tabSelected="1" workbookViewId="0">
      <selection activeCell="A3" sqref="A3"/>
    </sheetView>
  </sheetViews>
  <sheetFormatPr defaultRowHeight="14.45"/>
  <cols>
    <col min="1" max="1" width="13.85546875" bestFit="1" customWidth="1"/>
    <col min="2" max="2" width="13.85546875" customWidth="1"/>
    <col min="3" max="3" width="4.140625" bestFit="1" customWidth="1"/>
    <col min="4" max="4" width="13.42578125" bestFit="1" customWidth="1"/>
    <col min="5" max="5" width="16" customWidth="1"/>
    <col min="6" max="6" width="20.85546875" bestFit="1" customWidth="1"/>
    <col min="7" max="7" width="20.5703125" bestFit="1" customWidth="1"/>
    <col min="9" max="9" width="9.5703125" customWidth="1"/>
    <col min="10" max="10" width="18.5703125" customWidth="1"/>
    <col min="11" max="11" width="18.42578125" customWidth="1"/>
    <col min="12" max="12" width="11.42578125" customWidth="1"/>
    <col min="13" max="13" width="4.140625" customWidth="1"/>
    <col min="14" max="14" width="4.85546875" customWidth="1"/>
    <col min="16" max="16" width="19" customWidth="1"/>
    <col min="17" max="17" width="11.85546875" customWidth="1"/>
    <col min="19" max="19" width="15" customWidth="1"/>
    <col min="20" max="20" width="9.28515625" customWidth="1"/>
    <col min="21" max="21" width="12.85546875" customWidth="1"/>
    <col min="31" max="31" width="12.28515625" customWidth="1"/>
    <col min="32" max="32" width="28.28515625" bestFit="1" customWidth="1"/>
    <col min="34" max="34" width="23.85546875" customWidth="1"/>
    <col min="37" max="37" width="14.85546875" bestFit="1" customWidth="1"/>
    <col min="39" max="39" width="17.140625" customWidth="1"/>
    <col min="40" max="40" width="2" bestFit="1" customWidth="1"/>
    <col min="42" max="42" width="11.7109375" customWidth="1"/>
  </cols>
  <sheetData>
    <row r="1" spans="1:45">
      <c r="A1" s="1" t="s">
        <v>90</v>
      </c>
      <c r="B1" s="1"/>
      <c r="I1" s="1" t="s">
        <v>91</v>
      </c>
      <c r="P1" s="1"/>
      <c r="S1" s="1"/>
      <c r="W1" s="1"/>
      <c r="AH1" s="1"/>
      <c r="AJ1" s="13"/>
      <c r="AM1" s="1"/>
      <c r="AQ1" s="1"/>
      <c r="AS1" s="1"/>
    </row>
    <row r="2" spans="1:45">
      <c r="A2" t="s">
        <v>1</v>
      </c>
      <c r="B2" t="s">
        <v>2</v>
      </c>
      <c r="C2" t="s">
        <v>3</v>
      </c>
      <c r="D2" t="s">
        <v>92</v>
      </c>
      <c r="E2" t="s">
        <v>93</v>
      </c>
      <c r="F2" t="s">
        <v>94</v>
      </c>
      <c r="G2" t="s">
        <v>95</v>
      </c>
      <c r="I2" t="s">
        <v>96</v>
      </c>
      <c r="J2" s="33">
        <v>0</v>
      </c>
      <c r="M2" s="1"/>
      <c r="N2" s="1"/>
      <c r="P2" s="1"/>
      <c r="Q2" s="1"/>
      <c r="S2" s="1"/>
      <c r="T2" s="1"/>
      <c r="U2" s="1"/>
      <c r="W2" s="1"/>
      <c r="X2" s="1"/>
      <c r="Y2" s="1"/>
      <c r="Z2" s="1"/>
      <c r="AA2" s="1"/>
    </row>
    <row r="3" spans="1:45">
      <c r="A3" t="s">
        <v>97</v>
      </c>
      <c r="B3" t="s">
        <v>98</v>
      </c>
      <c r="C3">
        <v>5</v>
      </c>
      <c r="D3" t="str">
        <f t="shared" ref="D3:D4" si="0">IF(B3="",C3,B3&amp;"_"&amp;C3)</f>
        <v>(OtherRFQ)_5</v>
      </c>
      <c r="E3" t="str">
        <f t="shared" ref="E3:E4" si="1">IF(A3=A2,E2&amp;D3&amp;"_",A3&amp;"__"&amp;D3&amp;"_")</f>
        <v>(RFQ)__(OtherRFQ)_5_</v>
      </c>
      <c r="F3" t="str">
        <f t="shared" ref="F3:F4" si="2">IF(A3=A4,"",E3&amp;"_")</f>
        <v>(RFQ)__(OtherRFQ)_5__</v>
      </c>
      <c r="G3" t="str">
        <f t="shared" ref="G3:G4" si="3">IF(F3="",G2,IF(G2="Command",F3,G2&amp;","&amp;F3))</f>
        <v>(RFQ)__(OtherRFQ)_5__</v>
      </c>
      <c r="I3" t="s">
        <v>99</v>
      </c>
      <c r="J3" s="20">
        <v>1.4999999999999999E-2</v>
      </c>
      <c r="K3" s="33">
        <f>ROUNDUP(J2*J3,2)</f>
        <v>0</v>
      </c>
      <c r="L3" t="s">
        <v>100</v>
      </c>
    </row>
    <row r="4" spans="1:45">
      <c r="A4" t="s">
        <v>101</v>
      </c>
      <c r="B4" t="s">
        <v>102</v>
      </c>
      <c r="C4">
        <v>8</v>
      </c>
      <c r="D4" t="str">
        <f t="shared" si="0"/>
        <v>(OtherRFQ2)_8</v>
      </c>
      <c r="E4" t="str">
        <f t="shared" si="1"/>
        <v>(RFQ2)__(OtherRFQ2)_8_</v>
      </c>
      <c r="F4" t="str">
        <f t="shared" si="2"/>
        <v>(RFQ2)__(OtherRFQ2)_8__</v>
      </c>
      <c r="G4" t="str">
        <f t="shared" si="3"/>
        <v>(RFQ)__(OtherRFQ)_5__,(RFQ2)__(OtherRFQ2)_8__</v>
      </c>
      <c r="I4" t="s">
        <v>103</v>
      </c>
      <c r="J4" s="19">
        <v>7.0000000000000007E-2</v>
      </c>
      <c r="K4" s="33">
        <f>ROUNDDOWN(J2*J4,2)</f>
        <v>0</v>
      </c>
    </row>
    <row r="16" spans="1:45" ht="15" customHeight="1"/>
    <row r="17" ht="15" customHeight="1"/>
    <row r="18" ht="15" customHeight="1"/>
    <row r="19" ht="15" customHeight="1"/>
    <row r="20" ht="15" customHeight="1"/>
    <row r="21" ht="15" customHeight="1"/>
    <row r="43" spans="9:11">
      <c r="I43" s="1"/>
      <c r="K43" s="13"/>
    </row>
    <row r="44" spans="9:11">
      <c r="K44" s="13"/>
    </row>
    <row r="46" spans="9:11">
      <c r="I46" s="13"/>
    </row>
  </sheetData>
  <pageMargins left="0.7" right="0.7" top="0.75" bottom="0.75" header="0.3" footer="0.3"/>
  <pageSetup orientation="portrait" horizontalDpi="1200" verticalDpi="12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021F-2ED8-4670-BDDD-75E10A0EE3A6}">
  <sheetPr codeName="Sheet511"/>
  <dimension ref="A1:Q13"/>
  <sheetViews>
    <sheetView showZeros="0" workbookViewId="0">
      <selection activeCell="B2" sqref="B2"/>
    </sheetView>
  </sheetViews>
  <sheetFormatPr defaultColWidth="9.140625" defaultRowHeight="14.45"/>
  <cols>
    <col min="1" max="1" width="4.7109375" style="2" bestFit="1" customWidth="1"/>
    <col min="2" max="2" width="15.7109375" style="2" customWidth="1"/>
    <col min="3" max="3" width="20.7109375" style="2" customWidth="1"/>
    <col min="4" max="6" width="15.7109375" style="5" customWidth="1"/>
    <col min="7" max="7" width="17.28515625" style="2" customWidth="1"/>
    <col min="8" max="8" width="9.140625" style="2"/>
    <col min="9" max="9" width="12.85546875" style="2" customWidth="1"/>
    <col min="10" max="16384" width="9.140625" style="2"/>
  </cols>
  <sheetData>
    <row r="1" spans="1:17" ht="15" customHeight="1">
      <c r="A1" s="2" t="s">
        <v>104</v>
      </c>
      <c r="B1" s="2" t="s">
        <v>10</v>
      </c>
      <c r="C1" s="2" t="s">
        <v>11</v>
      </c>
      <c r="D1" s="5" t="s">
        <v>105</v>
      </c>
      <c r="E1" s="5" t="s">
        <v>106</v>
      </c>
      <c r="F1" s="2" t="s">
        <v>107</v>
      </c>
      <c r="G1" s="2" t="s">
        <v>108</v>
      </c>
      <c r="H1"/>
      <c r="I1" s="9" t="s">
        <v>109</v>
      </c>
      <c r="J1" s="10"/>
      <c r="K1" s="10"/>
      <c r="L1" s="10"/>
      <c r="M1" s="10"/>
      <c r="N1" s="10"/>
      <c r="O1" s="10"/>
      <c r="P1" s="10"/>
      <c r="Q1" s="10"/>
    </row>
    <row r="2" spans="1:17">
      <c r="A2" s="3">
        <f>IF(A1="Line",1,A1+1)</f>
        <v>1</v>
      </c>
      <c r="B2" s="4"/>
      <c r="F2" s="4" t="s">
        <v>110</v>
      </c>
      <c r="G2" s="4" t="str">
        <f>"P/N: "&amp;Table14785[[#This Row],[Part '#]] &amp; CHAR(10) &amp;"DESC: "&amp; Table14785[[#This Row],[Description]] &amp; CHAR(10) &amp; "S/N: " &amp; Table14785[[#This Row],[Serial '#]] &amp; CHAR(10) &amp; "Customer Ref #: " &amp; Table14785[[#This Row],[Customer Ref '#]] &amp; IF(Table14785[[#This Row],[Addendum]]="","",CHAR(10) &amp;Table14785[[#This Row],[Addendum]])</f>
        <v>P/N: 
DESC: 
S/N: 
Customer Ref #: 
THE FOLLOWING ARE REQUIRED ON THE CERTIFICATE:
1. THE CORRECT P/N, S/N AND CUSTOMER’S REFERENCE #
2. BEFORE AND AFTER DATA
(IF THE BEFORE DATA IS NOT AVAILABLE, PLEASE EXPLAIN WHY)
3. STANDARD VALUE, TOLERANCE AND ACTUAL DATA
4. REPAIR REPORT (IF REPAIRED, AFTER QUOTE APPROVAL)
5. ORIGINAL DOCUMENTATION</v>
      </c>
    </row>
    <row r="6" spans="1:17">
      <c r="H6" s="2" t="s">
        <v>111</v>
      </c>
    </row>
    <row r="7" spans="1:17">
      <c r="H7" s="26">
        <f>COUNTA(Table14785[Part '#])</f>
        <v>0</v>
      </c>
    </row>
    <row r="9" spans="1:17">
      <c r="H9" s="2" t="s">
        <v>21</v>
      </c>
    </row>
    <row r="10" spans="1:17">
      <c r="H10" s="25" t="e">
        <f ca="1">MAIquote!AC11</f>
        <v>#VALUE!</v>
      </c>
    </row>
    <row r="12" spans="1:17">
      <c r="H12" s="2" t="s">
        <v>15</v>
      </c>
    </row>
    <row r="13" spans="1:17">
      <c r="H13" s="21" t="str" cm="1">
        <f t="array" ref="H13">MAIN_TABLE[Vendor]</f>
        <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FQ_cal_email">
                <anchor moveWithCells="1" sizeWithCells="1">
                  <from>
                    <xdr:col>8</xdr:col>
                    <xdr:colOff>381000</xdr:colOff>
                    <xdr:row>3</xdr:row>
                    <xdr:rowOff>88900</xdr:rowOff>
                  </from>
                  <to>
                    <xdr:col>10</xdr:col>
                    <xdr:colOff>76200</xdr:colOff>
                    <xdr:row>6</xdr:row>
                    <xdr:rowOff>133350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82B2D-9AD7-4D7A-8E6B-53892701ECFE}">
  <sheetPr codeName="Sheet111"/>
  <dimension ref="A1:N15"/>
  <sheetViews>
    <sheetView workbookViewId="0"/>
  </sheetViews>
  <sheetFormatPr defaultRowHeight="14.45"/>
  <cols>
    <col min="1" max="1" width="19.7109375" bestFit="1" customWidth="1"/>
    <col min="6" max="6" width="11.28515625" bestFit="1" customWidth="1"/>
    <col min="7" max="7" width="13.5703125" bestFit="1" customWidth="1"/>
    <col min="8" max="8" width="12.28515625" bestFit="1" customWidth="1"/>
    <col min="9" max="9" width="13.5703125" bestFit="1" customWidth="1"/>
    <col min="10" max="10" width="13.5703125" style="12" customWidth="1"/>
    <col min="12" max="12" width="12.42578125" customWidth="1"/>
  </cols>
  <sheetData>
    <row r="1" spans="1:14">
      <c r="A1" t="s">
        <v>112</v>
      </c>
      <c r="B1" t="s">
        <v>113</v>
      </c>
      <c r="C1" t="s">
        <v>114</v>
      </c>
      <c r="D1" t="s">
        <v>23</v>
      </c>
      <c r="E1" t="s">
        <v>24</v>
      </c>
      <c r="F1" t="s">
        <v>115</v>
      </c>
      <c r="G1" t="s">
        <v>116</v>
      </c>
      <c r="H1" t="s">
        <v>40</v>
      </c>
      <c r="I1" t="s">
        <v>41</v>
      </c>
      <c r="J1" s="12" t="s">
        <v>117</v>
      </c>
      <c r="L1" t="s">
        <v>114</v>
      </c>
      <c r="M1" s="22" t="s">
        <v>23</v>
      </c>
      <c r="N1" s="22" t="s">
        <v>24</v>
      </c>
    </row>
    <row r="2" spans="1:14" ht="15">
      <c r="A2" t="s">
        <v>118</v>
      </c>
      <c r="B2" t="s">
        <v>119</v>
      </c>
      <c r="C2" t="s">
        <v>120</v>
      </c>
      <c r="D2" t="str">
        <f>IFERROR(VLOOKUP(CustID[[#This Row],[Salute]],contacts[],2,FALSE),"")</f>
        <v>mario2@marioworld.shroom</v>
      </c>
      <c r="E2" t="str">
        <f>IFERROR(VLOOKUP(CustID[[#This Row],[Salute]],contacts[],3,FALSE),"")</f>
        <v>mario@marioworld.shroom</v>
      </c>
      <c r="F2" t="s">
        <v>121</v>
      </c>
      <c r="G2" s="19">
        <v>0.2</v>
      </c>
      <c r="H2" s="12">
        <v>30</v>
      </c>
      <c r="I2" s="20">
        <v>0.1</v>
      </c>
      <c r="J2" s="12">
        <v>20</v>
      </c>
      <c r="L2" t="s">
        <v>120</v>
      </c>
      <c r="M2" s="40" t="s">
        <v>122</v>
      </c>
      <c r="N2" s="40" t="s">
        <v>123</v>
      </c>
    </row>
    <row r="3" spans="1:14" ht="15">
      <c r="A3" t="s">
        <v>124</v>
      </c>
      <c r="B3" t="s">
        <v>125</v>
      </c>
      <c r="C3" s="41" t="s">
        <v>126</v>
      </c>
      <c r="D3" t="str">
        <f>IFERROR(VLOOKUP(CustID[[#This Row],[Salute]],contacts[],2,FALSE),"")</f>
        <v>mario@marioworld.shroom</v>
      </c>
      <c r="E3">
        <f>IFERROR(VLOOKUP(CustID[[#This Row],[Salute]],contacts[],3,FALSE),"")</f>
        <v>0</v>
      </c>
      <c r="F3" t="s">
        <v>121</v>
      </c>
      <c r="G3" s="19">
        <v>0.15</v>
      </c>
      <c r="H3" s="12">
        <v>50</v>
      </c>
      <c r="I3" s="20">
        <v>0.1</v>
      </c>
      <c r="J3" s="12">
        <v>50</v>
      </c>
      <c r="L3" s="41" t="s">
        <v>126</v>
      </c>
      <c r="M3" s="40" t="s">
        <v>123</v>
      </c>
      <c r="N3" s="41"/>
    </row>
    <row r="4" spans="1:14" ht="15"/>
    <row r="5" spans="1:14" ht="15"/>
    <row r="6" spans="1:14" ht="15"/>
    <row r="7" spans="1:14" ht="15"/>
    <row r="8" spans="1:14" ht="15"/>
    <row r="9" spans="1:14" ht="15"/>
    <row r="10" spans="1:14" ht="15"/>
    <row r="11" spans="1:14" ht="15"/>
    <row r="12" spans="1:14" ht="15"/>
    <row r="13" spans="1:14" ht="15"/>
    <row r="14" spans="1:14" ht="15"/>
    <row r="15" spans="1:14" ht="15"/>
  </sheetData>
  <hyperlinks>
    <hyperlink ref="M2" r:id="rId1" xr:uid="{9095CCFE-4561-4673-82EB-26DDFB5E8516}"/>
    <hyperlink ref="N2" r:id="rId2" xr:uid="{68AEABBF-A8F0-4612-B305-1F100952FB4E}"/>
    <hyperlink ref="M3" r:id="rId3" xr:uid="{9B67FADA-C9AE-43EF-AC96-10C7C4DC4ECF}"/>
  </hyperlinks>
  <pageMargins left="0.7" right="0.7" top="0.75" bottom="0.75" header="0.3" footer="0.3"/>
  <pageSetup orientation="portrait" horizontalDpi="1200" verticalDpi="1200" r:id="rId4"/>
  <tableParts count="2">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B9777-E2D0-47F8-A5BF-DA4C043A3635}">
  <sheetPr codeName="Sheet311"/>
  <dimension ref="A1:G2"/>
  <sheetViews>
    <sheetView workbookViewId="0">
      <selection activeCell="G7" sqref="G7"/>
    </sheetView>
  </sheetViews>
  <sheetFormatPr defaultRowHeight="14.45"/>
  <sheetData>
    <row r="1" spans="1:7">
      <c r="A1" t="s">
        <v>127</v>
      </c>
      <c r="B1" t="s">
        <v>23</v>
      </c>
      <c r="C1" t="s">
        <v>128</v>
      </c>
      <c r="D1" t="s">
        <v>129</v>
      </c>
      <c r="E1" t="s">
        <v>1</v>
      </c>
      <c r="F1" t="s">
        <v>130</v>
      </c>
      <c r="G1" t="s">
        <v>131</v>
      </c>
    </row>
    <row r="2" spans="1:7">
      <c r="A2" t="str">
        <f ca="1">MAIquote!AC12</f>
        <v>Dear Valued Customer</v>
      </c>
      <c r="B2" t="str">
        <f ca="1">MAIquote!AC13</f>
        <v/>
      </c>
      <c r="C2" s="12" t="e">
        <f ca="1">IF(MAIquote!AC24&gt;MAIquote!AC28,TEXT(MAIquote!AC28,"$#,##0.00"),"The TOTAL shown above")</f>
        <v>#DIV/0!</v>
      </c>
      <c r="D2" s="12" t="e">
        <f ca="1">TEXT(MAIquote!AC24,"$* #,##0.00") &amp; IF(MAIquote!AC24&lt;MAIquote!AC28, CHAR(10) &amp; " (Fixed costs are driving higher unit prices in this quote. We may offer better pricing at higher QTYs, please inquire for this offer.)","")</f>
        <v>#DIV/0!</v>
      </c>
      <c r="E2" t="e">
        <f ca="1">MAIquote!AC11</f>
        <v>#VALUE!</v>
      </c>
      <c r="F2" t="str">
        <f>IF(AND(ROWS(MAIN_TABLE[Docs])&gt;1,COUNTIF(MAIN_TABLE[Docs],MAIquote!$X$2)&lt;=1), "As listed in above table",MAIquote!$X$2)</f>
        <v>None</v>
      </c>
      <c r="G2" t="s">
        <v>132</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B0D4-4F43-45D0-9915-91718C157444}">
  <sheetPr codeName="Sheet10"/>
  <dimension ref="A1:A8"/>
  <sheetViews>
    <sheetView workbookViewId="0"/>
  </sheetViews>
  <sheetFormatPr defaultRowHeight="14.45"/>
  <sheetData>
    <row r="1" spans="1:1">
      <c r="A1" t="s">
        <v>18</v>
      </c>
    </row>
    <row r="2" spans="1:1">
      <c r="A2" t="s">
        <v>133</v>
      </c>
    </row>
    <row r="3" spans="1:1">
      <c r="A3" t="s">
        <v>134</v>
      </c>
    </row>
    <row r="4" spans="1:1">
      <c r="A4" t="s">
        <v>135</v>
      </c>
    </row>
    <row r="5" spans="1:1">
      <c r="A5" t="s">
        <v>136</v>
      </c>
    </row>
    <row r="6" spans="1:1">
      <c r="A6" t="s">
        <v>137</v>
      </c>
    </row>
    <row r="7" spans="1:1">
      <c r="A7" t="s">
        <v>138</v>
      </c>
    </row>
    <row r="8" spans="1:1">
      <c r="A8" t="str">
        <f>""</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Shota Watanabe</dc:creator>
  <cp:keywords/>
  <dc:description/>
  <cp:lastModifiedBy>W S</cp:lastModifiedBy>
  <cp:revision/>
  <dcterms:created xsi:type="dcterms:W3CDTF">2018-09-28T19:21:22Z</dcterms:created>
  <dcterms:modified xsi:type="dcterms:W3CDTF">2023-02-02T17:54:38Z</dcterms:modified>
  <cp:category/>
  <cp:contentStatus/>
</cp:coreProperties>
</file>