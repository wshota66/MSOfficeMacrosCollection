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8.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2" defaultThemeVersion="166925"/>
  <mc:AlternateContent xmlns:mc="http://schemas.openxmlformats.org/markup-compatibility/2006">
    <mc:Choice Requires="x15">
      <x15ac:absPath xmlns:x15ac="http://schemas.microsoft.com/office/spreadsheetml/2010/11/ac" url="C:\Users\Ultimate Admin\Desktop\OneDrive_1_5-7-2020\"/>
    </mc:Choice>
  </mc:AlternateContent>
  <xr:revisionPtr revIDLastSave="0" documentId="13_ncr:1_{26F86155-DC26-4ACE-B9AE-54141A9B8220}" xr6:coauthVersionLast="45" xr6:coauthVersionMax="45" xr10:uidLastSave="{00000000-0000-0000-0000-000000000000}"/>
  <bookViews>
    <workbookView xWindow="-120" yWindow="-120" windowWidth="20730" windowHeight="11160" activeTab="1" xr2:uid="{96BF61A3-6112-43D0-9013-EA0658B3034D}"/>
  </bookViews>
  <sheets>
    <sheet name="User Guide" sheetId="18" r:id="rId1"/>
    <sheet name="MAIN" sheetId="3" r:id="rId2"/>
    <sheet name="RFQ (CALIBRATION)" sheetId="11" r:id="rId3"/>
    <sheet name="Functions" sheetId="15" r:id="rId4"/>
    <sheet name="Cust ID" sheetId="16" r:id="rId5"/>
    <sheet name="0_MailMergeFields" sheetId="17"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 i="17" l="1"/>
  <c r="A2" i="3" l="1"/>
  <c r="C2" i="3"/>
  <c r="H2" i="3"/>
  <c r="L2" i="3"/>
  <c r="N2" i="3" s="1"/>
  <c r="Q2" i="3"/>
  <c r="T2" i="3"/>
  <c r="AA3" i="15" l="1"/>
  <c r="D3" i="15"/>
  <c r="D4" i="15"/>
  <c r="D5" i="15"/>
  <c r="E5" i="15"/>
  <c r="C5" i="15" s="1"/>
  <c r="F5" i="15"/>
  <c r="U3" i="15"/>
  <c r="V3" i="15"/>
  <c r="W3" i="15"/>
  <c r="U4" i="15"/>
  <c r="V4" i="15"/>
  <c r="W4" i="15"/>
  <c r="U5" i="15"/>
  <c r="V5" i="15"/>
  <c r="W5" i="15"/>
  <c r="H13" i="11" a="1"/>
  <c r="H13" i="11" s="1"/>
  <c r="H7" i="11"/>
  <c r="P3" i="15" l="1"/>
  <c r="E2" i="16" l="1"/>
  <c r="E3" i="16"/>
  <c r="D2" i="16"/>
  <c r="D3" i="16"/>
  <c r="X11" i="3" l="1"/>
  <c r="X10" i="3" l="1"/>
  <c r="K2" i="3" s="1"/>
  <c r="M2" i="3" s="1"/>
  <c r="E2" i="17"/>
  <c r="F3" i="15"/>
  <c r="E3" i="15"/>
  <c r="E4" i="15" s="1"/>
  <c r="C4" i="15" s="1"/>
  <c r="M3" i="15"/>
  <c r="I3" i="15"/>
  <c r="X15" i="3" l="1"/>
  <c r="J2" i="3" s="1"/>
  <c r="X27" i="3"/>
  <c r="F4" i="15"/>
  <c r="C3" i="15" s="1"/>
  <c r="R3" i="15"/>
  <c r="A2" i="11" l="1"/>
  <c r="X28" i="3" l="1"/>
  <c r="Z29" i="3"/>
  <c r="X29" i="3"/>
  <c r="X12" i="3"/>
  <c r="A2" i="17" s="1"/>
  <c r="G2" i="3"/>
  <c r="I2" i="3" l="1"/>
  <c r="O2" i="3" s="1"/>
  <c r="Z13" i="3"/>
  <c r="X13" i="3"/>
  <c r="B2" i="17" s="1"/>
  <c r="X17" i="3"/>
  <c r="H10" i="11" l="1"/>
  <c r="F2" i="11" l="1"/>
  <c r="G2" i="11" s="1"/>
  <c r="X5" i="3" l="1"/>
  <c r="X18" i="3"/>
  <c r="Y16" i="3" s="1"/>
  <c r="X25" i="3" l="1"/>
  <c r="X26" i="3" s="1"/>
  <c r="X24" i="3"/>
  <c r="C2" i="17" l="1"/>
  <c r="D2" i="1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<sst xmlns="http://schemas.openxmlformats.org/spreadsheetml/2006/main" count="160" uniqueCount="137">
  <si>
    <t>#</t>
  </si>
  <si>
    <t>QTY</t>
  </si>
  <si>
    <t>Part #</t>
  </si>
  <si>
    <t>Description</t>
  </si>
  <si>
    <t>Price</t>
  </si>
  <si>
    <t>Per</t>
  </si>
  <si>
    <t>Freight</t>
  </si>
  <si>
    <t>Ext List</t>
  </si>
  <si>
    <t>Tot List</t>
  </si>
  <si>
    <t>Tot Inv</t>
  </si>
  <si>
    <t>Tot Fregiht</t>
  </si>
  <si>
    <t>Net Price</t>
  </si>
  <si>
    <t>PROFIT</t>
  </si>
  <si>
    <t>Serial #</t>
  </si>
  <si>
    <t>Customer Ref #</t>
  </si>
  <si>
    <t>RFQ #</t>
  </si>
  <si>
    <t>MARGIN</t>
  </si>
  <si>
    <t>MIN PO</t>
  </si>
  <si>
    <t>Vendor</t>
  </si>
  <si>
    <t>Addendum</t>
  </si>
  <si>
    <t>End Use</t>
  </si>
  <si>
    <t>Customer</t>
  </si>
  <si>
    <t>Aircraft</t>
  </si>
  <si>
    <t>Part</t>
  </si>
  <si>
    <t>Desc 1</t>
  </si>
  <si>
    <t>Desc 2</t>
  </si>
  <si>
    <t>Delimiter</t>
  </si>
  <si>
    <t>Part 2</t>
  </si>
  <si>
    <t>Desc 3</t>
  </si>
  <si>
    <t>CALIBRATION ONLY</t>
  </si>
  <si>
    <t>TOTAL:</t>
  </si>
  <si>
    <t>COC</t>
  </si>
  <si>
    <t>Vertical List to Columns</t>
  </si>
  <si>
    <t>QTY : 10EA</t>
  </si>
  <si>
    <t>Description : Fighter Bomber</t>
  </si>
  <si>
    <t>P/N : F/A-18E</t>
  </si>
  <si>
    <t xml:space="preserve">Description : </t>
  </si>
  <si>
    <t xml:space="preserve">P/N : </t>
  </si>
  <si>
    <t xml:space="preserve">QTY : </t>
  </si>
  <si>
    <t>Lead Time (Weeks)</t>
  </si>
  <si>
    <t>*Lead Time</t>
  </si>
  <si>
    <t>Recipient</t>
  </si>
  <si>
    <t>email</t>
  </si>
  <si>
    <t>min_PO</t>
  </si>
  <si>
    <t>Total</t>
  </si>
  <si>
    <t>RFQ</t>
  </si>
  <si>
    <t>o7 Salute</t>
  </si>
  <si>
    <t>None</t>
  </si>
  <si>
    <t>COC Same?</t>
  </si>
  <si>
    <t>DISC</t>
  </si>
  <si>
    <t>BASE MU</t>
  </si>
  <si>
    <t>FINAL MU</t>
  </si>
  <si>
    <t>W/ DISC MU</t>
  </si>
  <si>
    <t>Line</t>
  </si>
  <si>
    <t>Convert multiple spaces to tabs (Custom, works on this file only)</t>
  </si>
  <si>
    <t>Part       Desc       QTY</t>
  </si>
  <si>
    <t>Substitute Characters</t>
  </si>
  <si>
    <t>Text</t>
  </si>
  <si>
    <t>Old Text</t>
  </si>
  <si>
    <t>New Text</t>
  </si>
  <si>
    <t>Convert repeating characters to tabs (Custom, works on this file only)</t>
  </si>
  <si>
    <t>.</t>
  </si>
  <si>
    <t>Descrption Lines</t>
  </si>
  <si>
    <t>Description 1 line</t>
  </si>
  <si>
    <t>calc 1</t>
  </si>
  <si>
    <t>calc 2</t>
  </si>
  <si>
    <t>Spaced</t>
  </si>
  <si>
    <t>Tabbed</t>
  </si>
  <si>
    <t>Repeating Delimiter</t>
  </si>
  <si>
    <t>Vertical List</t>
  </si>
  <si>
    <t>Spaced Description to Single Line (Part # is the delimiter)</t>
  </si>
  <si>
    <t>Convert to columns: Ribbon&gt; Data &gt;  Text to Columns &gt; Delimited &gt; Next &gt; "Tab" &gt; OK</t>
  </si>
  <si>
    <t>Change Headers to grab different tags</t>
  </si>
  <si>
    <t>Result</t>
  </si>
  <si>
    <t>UOM</t>
  </si>
  <si>
    <t>TERMS</t>
  </si>
  <si>
    <t>Net 30 Days</t>
  </si>
  <si>
    <t>CC</t>
  </si>
  <si>
    <t>CHAR(9) = Tab</t>
  </si>
  <si>
    <t>OR: Alt &gt; A &gt; E  &gt; D &gt; F</t>
  </si>
  <si>
    <t>CHAR(10) = Line Break</t>
  </si>
  <si>
    <t>F5 &gt; Special &gt; Constants &gt; Uncheck all except Logicals &gt; OK &gt; Right Click &gt; Delete &gt; Shift Cells Up &gt; OK</t>
  </si>
  <si>
    <t>F5 &gt; Special &gt; O &gt; U &gt; X &gt; E &gt; OK &gt; Right Click &gt; Delete &gt; Shift Cells Up &gt; OK</t>
  </si>
  <si>
    <t>Customer ID</t>
  </si>
  <si>
    <t>Salute</t>
  </si>
  <si>
    <t>Terms</t>
  </si>
  <si>
    <t>Inquiry Prefix</t>
  </si>
  <si>
    <t>Default MU</t>
  </si>
  <si>
    <t>Min Profit</t>
  </si>
  <si>
    <t>Min Margin</t>
  </si>
  <si>
    <t>Markup</t>
  </si>
  <si>
    <t>Starting Freight</t>
  </si>
  <si>
    <t>20ea</t>
  </si>
  <si>
    <t>nontable</t>
  </si>
  <si>
    <t>Ext Price</t>
  </si>
  <si>
    <t>Num Lines</t>
  </si>
  <si>
    <t>Part...Desc..QTY</t>
  </si>
  <si>
    <t>Combine Text</t>
  </si>
  <si>
    <t xml:space="preserve">Part </t>
  </si>
  <si>
    <t>Combined</t>
  </si>
  <si>
    <t>part-01</t>
  </si>
  <si>
    <t>Hi John</t>
  </si>
  <si>
    <t>johndoe@janedoe.etc</t>
  </si>
  <si>
    <t>janedoe@janedoe.etc</t>
  </si>
  <si>
    <t>Hi Jack</t>
  </si>
  <si>
    <t>jacknorth@northsoutheast.west</t>
  </si>
  <si>
    <t>Credit Card</t>
  </si>
  <si>
    <t>INQ</t>
  </si>
  <si>
    <t>CUST001</t>
  </si>
  <si>
    <t>CUST002</t>
  </si>
  <si>
    <t>&lt;Grabs file name as RFQ#</t>
  </si>
  <si>
    <t>&lt;If first 3 letters match setting on "Cust ID", auto-filled</t>
  </si>
  <si>
    <t>&lt;Base markup</t>
  </si>
  <si>
    <t>&lt;Discount after markup</t>
  </si>
  <si>
    <t>&lt;Final markup after all calculations completed</t>
  </si>
  <si>
    <t>&lt;Minimum order required to meet profit and margin targets</t>
  </si>
  <si>
    <t>&lt;Sheet will automatically adjust pricing to ensuer this minimum profit is met</t>
  </si>
  <si>
    <t>&lt;Profit/Total Invoice</t>
  </si>
  <si>
    <t>&lt;Gross Profit</t>
  </si>
  <si>
    <t>&lt;Total Invoice Price</t>
  </si>
  <si>
    <t>&lt;Optional. For reference only</t>
  </si>
  <si>
    <t>&lt;E-mails will only work if MS Outlook is installed</t>
  </si>
  <si>
    <t>&lt; "Form" buttons hide unnecessary columns</t>
  </si>
  <si>
    <t>Custom form for calibration inquiries.</t>
  </si>
  <si>
    <t>Full One Cell Description</t>
  </si>
  <si>
    <t>Introduction</t>
  </si>
  <si>
    <t>This is a handy Excel file for clients who do not have the luxury of a full scale quotation system.</t>
  </si>
  <si>
    <t>Looks complicated, but all in all this is an Excel sheet. There are functions that automatically calculate pricing, but they can be overwritten with manual inputs.</t>
  </si>
  <si>
    <t>The Buttons</t>
  </si>
  <si>
    <t>The "Form" buttons will Hide background functions and show the relevent columns.</t>
  </si>
  <si>
    <t>The "E-mail" buttons will generate an Outlook e-mail. Microsoft Outlook is required.</t>
  </si>
  <si>
    <t>The "Text Only" button will output the quote into a message box. Press Ctrl + C when this box appears, and paste the text anywhere.</t>
  </si>
  <si>
    <t>Functions</t>
  </si>
  <si>
    <t>The "Functions" sheet shows a few techniques to turn "dirty" text from e-mails and software to "clean" tables that Excel can work with</t>
  </si>
  <si>
    <t>The table header names cannot be changed since the Macros use these names to locate column locations, but they are allowed to reordered. This also means new columns can be added.</t>
  </si>
  <si>
    <t>A few functions are custom VB functions that can only be used with this sheet. The code can be copied and deployed on any Macros enabled Excel workbook.</t>
  </si>
  <si>
    <t>See the VB code for full 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</si>
</sst>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00"/>
    <numFmt numFmtId="165" formatCode="0.0%"/>
  </numFmts>
  <fonts count="7" x14ac:knownFonts="1">
    <font>
      <sz val="11"/>
      <color theme="1"/>
      <name val="Calibri"/>
      <family val="2"/>
      <scheme val="minor"/>
    </font>
    <font>
      <b/>
      <sz val="11"/>
      <color theme="1"/>
      <name val="Calibri"/>
      <family val="2"/>
      <scheme val="minor"/>
    </font>
    <font>
      <sz val="11"/>
      <color rgb="FF9C0006"/>
      <name val="Calibri"/>
      <family val="2"/>
      <scheme val="minor"/>
    </font>
    <font>
      <b/>
      <sz val="11"/>
      <color rgb="FF9C0006"/>
      <name val="Calibri"/>
      <family val="2"/>
      <scheme val="minor"/>
    </font>
    <font>
      <sz val="11"/>
      <color rgb="FF000000"/>
      <name val="Calibri"/>
      <family val="2"/>
    </font>
    <font>
      <b/>
      <sz val="11"/>
      <color theme="0"/>
      <name val="Calibri"/>
      <family val="2"/>
      <scheme val="minor"/>
    </font>
    <font>
      <u/>
      <sz val="11"/>
      <color theme="10"/>
      <name val="Calibri"/>
      <family val="2"/>
      <scheme val="minor"/>
    </font>
  </fonts>
  <fills count="6">
    <fill>
      <patternFill patternType="none"/>
    </fill>
    <fill>
      <patternFill patternType="gray125"/>
    </fill>
    <fill>
      <patternFill patternType="solid">
        <fgColor rgb="FFFFC7CE"/>
      </patternFill>
    </fill>
    <fill>
      <patternFill patternType="solid">
        <fgColor rgb="FFFFFF00"/>
        <bgColor indexed="64"/>
      </patternFill>
    </fill>
    <fill>
      <patternFill patternType="solid">
        <fgColor theme="1"/>
        <bgColor theme="1"/>
      </patternFill>
    </fill>
    <fill>
      <patternFill patternType="solid">
        <fgColor rgb="FFFF0000"/>
        <bgColor indexed="64"/>
      </patternFill>
    </fill>
  </fills>
  <borders count="4">
    <border>
      <left/>
      <right/>
      <top/>
      <bottom/>
      <diagonal/>
    </border>
    <border>
      <left style="thin">
        <color theme="4" tint="0.39994506668294322"/>
      </left>
      <right style="thin">
        <color theme="4" tint="0.39994506668294322"/>
      </right>
      <top/>
      <bottom/>
      <diagonal/>
    </border>
    <border>
      <left style="thin">
        <color indexed="64"/>
      </left>
      <right style="thin">
        <color indexed="64"/>
      </right>
      <top style="thin">
        <color indexed="64"/>
      </top>
      <bottom style="thin">
        <color indexed="64"/>
      </bottom>
      <diagonal/>
    </border>
    <border>
      <left/>
      <right/>
      <top style="thin">
        <color theme="1"/>
      </top>
      <bottom/>
      <diagonal/>
    </border>
  </borders>
  <cellStyleXfs count="3">
    <xf numFmtId="0" fontId="0" fillId="0" borderId="0"/>
    <xf numFmtId="0" fontId="2" fillId="2" borderId="0" applyNumberFormat="0" applyBorder="0" applyAlignment="0" applyProtection="0"/>
    <xf numFmtId="0" fontId="6" fillId="0" borderId="0" applyNumberFormat="0" applyFill="0" applyBorder="0" applyAlignment="0" applyProtection="0"/>
  </cellStyleXfs>
  <cellXfs count="39">
    <xf numFmtId="0" fontId="0" fillId="0" borderId="0" xfId="0"/>
    <xf numFmtId="0" fontId="1" fillId="0" borderId="0" xfId="0" applyFont="1"/>
    <xf numFmtId="0" fontId="0" fillId="0" borderId="0" xfId="0" applyBorder="1" applyAlignment="1">
      <alignment vertical="top"/>
    </xf>
    <xf numFmtId="0" fontId="1" fillId="0" borderId="0" xfId="0" applyFont="1" applyBorder="1" applyAlignment="1">
      <alignment horizontal="left" vertical="top"/>
    </xf>
    <xf numFmtId="1" fontId="0" fillId="0" borderId="0" xfId="0" applyNumberFormat="1" applyBorder="1" applyAlignment="1">
      <alignment vertical="top"/>
    </xf>
    <xf numFmtId="49" fontId="0" fillId="0" borderId="0" xfId="0" applyNumberFormat="1" applyBorder="1" applyAlignment="1">
      <alignment vertical="top"/>
    </xf>
    <xf numFmtId="164" fontId="0" fillId="0" borderId="0" xfId="0" applyNumberFormat="1" applyBorder="1" applyAlignment="1">
      <alignment vertical="top"/>
    </xf>
    <xf numFmtId="0" fontId="0" fillId="0" borderId="0" xfId="0" applyBorder="1"/>
    <xf numFmtId="0" fontId="1" fillId="0" borderId="0" xfId="0" applyFont="1" applyBorder="1" applyAlignment="1">
      <alignment vertical="top"/>
    </xf>
    <xf numFmtId="10" fontId="0" fillId="0" borderId="0" xfId="0" applyNumberFormat="1" applyBorder="1" applyAlignment="1">
      <alignment vertical="top"/>
    </xf>
    <xf numFmtId="0" fontId="3" fillId="2" borderId="0" xfId="1" applyFont="1" applyBorder="1" applyAlignment="1">
      <alignment vertical="top"/>
    </xf>
    <xf numFmtId="0" fontId="2" fillId="2" borderId="0" xfId="1" applyBorder="1" applyAlignment="1">
      <alignment vertical="top"/>
    </xf>
    <xf numFmtId="3" fontId="0" fillId="0" borderId="0" xfId="0" applyNumberFormat="1" applyBorder="1" applyAlignment="1">
      <alignment vertical="top"/>
    </xf>
    <xf numFmtId="164" fontId="0" fillId="0" borderId="0" xfId="0" applyNumberFormat="1"/>
    <xf numFmtId="0" fontId="0" fillId="0" borderId="1" xfId="0" applyBorder="1" applyAlignment="1">
      <alignment vertical="top"/>
    </xf>
    <xf numFmtId="1" fontId="0" fillId="0" borderId="0" xfId="0" applyNumberFormat="1"/>
    <xf numFmtId="165" fontId="0" fillId="0" borderId="0" xfId="0" applyNumberFormat="1" applyBorder="1" applyAlignment="1">
      <alignment vertical="top"/>
    </xf>
    <xf numFmtId="0" fontId="0" fillId="3" borderId="2" xfId="0" applyFill="1" applyBorder="1" applyAlignment="1">
      <alignment vertical="top"/>
    </xf>
    <xf numFmtId="165" fontId="0" fillId="3" borderId="2" xfId="0" applyNumberFormat="1" applyFont="1" applyFill="1" applyBorder="1" applyAlignment="1">
      <alignment vertical="top"/>
    </xf>
    <xf numFmtId="0" fontId="0" fillId="0" borderId="0" xfId="0" applyAlignment="1">
      <alignment vertical="center"/>
    </xf>
    <xf numFmtId="0" fontId="0" fillId="0" borderId="0" xfId="0" applyFill="1"/>
    <xf numFmtId="0" fontId="0" fillId="0" borderId="0" xfId="0" applyFill="1" applyBorder="1" applyAlignment="1">
      <alignment vertical="top"/>
    </xf>
    <xf numFmtId="0" fontId="1" fillId="0" borderId="0" xfId="0" applyFont="1" applyFill="1" applyBorder="1" applyAlignment="1">
      <alignment horizontal="left" vertical="top"/>
    </xf>
    <xf numFmtId="3" fontId="0" fillId="0" borderId="0" xfId="0" applyNumberFormat="1" applyFill="1" applyBorder="1" applyAlignment="1">
      <alignment vertical="top"/>
    </xf>
    <xf numFmtId="1" fontId="0" fillId="0" borderId="0" xfId="0" applyNumberFormat="1" applyFill="1" applyBorder="1" applyAlignment="1">
      <alignment vertical="top"/>
    </xf>
    <xf numFmtId="49" fontId="0" fillId="0" borderId="0" xfId="0" applyNumberFormat="1" applyFill="1" applyBorder="1" applyAlignment="1">
      <alignment vertical="top"/>
    </xf>
    <xf numFmtId="164" fontId="0" fillId="0" borderId="0" xfId="0" applyNumberFormat="1" applyFill="1" applyBorder="1" applyAlignment="1">
      <alignment vertical="top"/>
    </xf>
    <xf numFmtId="9" fontId="0" fillId="0" borderId="0" xfId="0" applyNumberFormat="1" applyFill="1" applyBorder="1" applyAlignment="1">
      <alignment vertical="top"/>
    </xf>
    <xf numFmtId="9" fontId="0" fillId="0" borderId="0" xfId="0" applyNumberFormat="1"/>
    <xf numFmtId="10" fontId="0" fillId="0" borderId="0" xfId="0" applyNumberFormat="1"/>
    <xf numFmtId="164" fontId="0" fillId="3" borderId="0" xfId="0" applyNumberFormat="1" applyFill="1" applyBorder="1" applyAlignment="1">
      <alignment vertical="top"/>
    </xf>
    <xf numFmtId="0" fontId="5" fillId="4" borderId="3" xfId="0" applyFont="1" applyFill="1" applyBorder="1"/>
    <xf numFmtId="0" fontId="6" fillId="0" borderId="0" xfId="2"/>
    <xf numFmtId="0" fontId="6" fillId="0" borderId="0" xfId="2" applyBorder="1" applyAlignment="1">
      <alignment vertical="top"/>
    </xf>
    <xf numFmtId="0" fontId="0" fillId="0" borderId="0" xfId="0" applyNumberFormat="1" applyFill="1" applyBorder="1" applyAlignment="1">
      <alignment vertical="top" wrapText="1"/>
    </xf>
    <xf numFmtId="0" fontId="0" fillId="3" borderId="0" xfId="0" applyFill="1" applyBorder="1" applyAlignment="1">
      <alignment vertical="top"/>
    </xf>
    <xf numFmtId="0" fontId="0" fillId="5" borderId="0" xfId="0" applyFill="1" applyBorder="1" applyAlignment="1">
      <alignment vertical="top"/>
    </xf>
    <xf numFmtId="0" fontId="0" fillId="0" borderId="3" xfId="0" applyFont="1" applyBorder="1"/>
    <xf numFmtId="0" fontId="6" fillId="0" borderId="3" xfId="2" applyBorder="1"/>
  </cellXfs>
  <cellStyles count="3">
    <cellStyle name="Bad" xfId="1" builtinId="27"/>
    <cellStyle name="Hyperlink" xfId="2" builtinId="8"/>
    <cellStyle name="Normal" xfId="0" builtinId="0"/>
  </cellStyles>
  <dxfs count="73">
    <dxf>
      <border diagonalUp="0" diagonalDown="0">
        <left/>
        <right/>
        <top style="thin">
          <color theme="1"/>
        </top>
        <bottom/>
        <vertical/>
        <horizontal/>
      </border>
    </dxf>
    <dxf>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dxf>
    <dxf>
      <numFmt numFmtId="164" formatCode="&quot;$&quot;#,##0.00"/>
    </dxf>
    <dxf>
      <numFmt numFmtId="14" formatCode="0.00%"/>
    </dxf>
    <dxf>
      <numFmt numFmtId="164" formatCode="&quot;$&quot;#,##0.00"/>
    </dxf>
    <dxf>
      <numFmt numFmtId="13" formatCode="0%"/>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numFmt numFmtId="0" formatCode="General"/>
    </dxf>
    <dxf>
      <numFmt numFmtId="0" formatCode="General"/>
    </dxf>
    <dxf>
      <font>
        <b/>
      </font>
    </dxf>
    <dxf>
      <numFmt numFmtId="1" formatCode="0"/>
      <alignment horizontal="general" vertical="top" textRotation="0" wrapText="0" indent="0" justifyLastLine="0" shrinkToFit="0" readingOrder="0"/>
    </dxf>
    <dxf>
      <numFmt numFmtId="1" formatCode="0"/>
      <alignment horizontal="general" vertical="top" textRotation="0" wrapText="0" indent="0" justifyLastLine="0" shrinkToFit="0" readingOrder="0"/>
    </dxf>
    <dxf>
      <numFmt numFmtId="30" formatCode="@"/>
      <alignment vertical="top" textRotation="0" wrapText="0" indent="0" justifyLastLine="0" shrinkToFit="0" readingOrder="0"/>
    </dxf>
    <dxf>
      <numFmt numFmtId="30" formatCode="@"/>
      <alignment vertical="top" textRotation="0" wrapText="0" indent="0" justifyLastLine="0" shrinkToFit="0" readingOrder="0"/>
    </dxf>
    <dxf>
      <numFmt numFmtId="1" formatCode="0"/>
      <alignment vertical="top" textRotation="0" wrapText="0" indent="0" justifyLastLine="0" shrinkToFit="0" readingOrder="0"/>
    </dxf>
    <dxf>
      <numFmt numFmtId="1" formatCode="0"/>
      <alignment vertical="top" textRotation="0" wrapText="0" indent="0" justifyLastLine="0" shrinkToFit="0" readingOrder="0"/>
    </dxf>
    <dxf>
      <font>
        <b/>
      </font>
      <numFmt numFmtId="0" formatCode="General"/>
      <alignment horizontal="left" vertical="top" textRotation="0" wrapText="0" indent="0" justifyLastLine="0" shrinkToFit="0" readingOrder="0"/>
    </dxf>
    <dxf>
      <border diagonalUp="0" diagonalDown="0">
        <left/>
        <right/>
        <top/>
        <bottom/>
      </border>
    </dxf>
    <dxf>
      <alignment vertical="top" textRotation="0" wrapText="0" indent="0" justifyLastLine="0" shrinkToFit="0" readingOrder="0"/>
    </dxf>
    <dxf>
      <alignment vertical="top" textRotation="0" wrapText="0" indent="0" justifyLastLine="0" shrinkToFit="0" readingOrder="0"/>
      <border diagonalUp="0" diagonalDown="0" outline="0">
        <left style="thin">
          <color theme="4" tint="0.39994506668294322"/>
        </left>
        <right style="thin">
          <color theme="4" tint="0.39994506668294322"/>
        </right>
        <top/>
        <bottom/>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textRotation="0" wrapText="0" indent="0" justifyLastLine="0" shrinkToFit="0" readingOrder="0"/>
    </dxf>
    <dxf>
      <numFmt numFmtId="3" formatCode="#,##0"/>
      <alignment vertical="top" textRotation="0" wrapText="0" indent="0" justifyLastLine="0" shrinkToFit="0" readingOrder="0"/>
    </dxf>
    <dxf>
      <numFmt numFmtId="164" formatCode="&quot;$&quot;#,##0.00"/>
      <fill>
        <patternFill patternType="none">
          <fgColor indexed="64"/>
          <bgColor auto="1"/>
        </patternFill>
      </fill>
      <alignment vertical="top" textRotation="0" wrapText="0" indent="0" justifyLastLine="0" shrinkToFit="0" readingOrder="0"/>
    </dxf>
    <dxf>
      <numFmt numFmtId="164" formatCode="&quot;$&quot;#,##0.00"/>
      <fill>
        <patternFill patternType="none">
          <fgColor indexed="64"/>
          <bgColor auto="1"/>
        </patternFill>
      </fill>
      <alignment vertical="top" textRotation="0" wrapText="0" indent="0" justifyLastLine="0" shrinkToFit="0" readingOrder="0"/>
    </dxf>
    <dxf>
      <numFmt numFmtId="164" formatCode="&quot;$&quot;#,##0.00"/>
      <fill>
        <patternFill patternType="none">
          <fgColor indexed="64"/>
          <bgColor auto="1"/>
        </patternFill>
      </fill>
      <alignment vertical="top" textRotation="0" wrapText="0" indent="0" justifyLastLine="0" shrinkToFit="0" readingOrder="0"/>
    </dxf>
    <dxf>
      <numFmt numFmtId="3" formatCode="#,##0"/>
      <fill>
        <patternFill patternType="none">
          <fgColor indexed="64"/>
          <bgColor auto="1"/>
        </patternFill>
      </fill>
      <alignment horizontal="general" vertical="top" textRotation="0" wrapText="0" indent="0" justifyLastLine="0" shrinkToFit="0" readingOrder="0"/>
    </dxf>
    <dxf>
      <numFmt numFmtId="164" formatCode="&quot;$&quot;#,##0.00"/>
      <fill>
        <patternFill patternType="none">
          <fgColor indexed="64"/>
          <bgColor auto="1"/>
        </patternFill>
      </fill>
      <alignment vertical="top" textRotation="0" wrapText="0" indent="0" justifyLastLine="0" shrinkToFit="0" readingOrder="0"/>
    </dxf>
    <dxf>
      <numFmt numFmtId="164" formatCode="&quot;$&quot;#,##0.00"/>
      <fill>
        <patternFill patternType="none">
          <fgColor indexed="64"/>
          <bgColor auto="1"/>
        </patternFill>
      </fill>
      <alignment vertical="top" textRotation="0" wrapText="0" indent="0" justifyLastLine="0" shrinkToFit="0" readingOrder="0"/>
    </dxf>
    <dxf>
      <numFmt numFmtId="164" formatCode="&quot;$&quot;#,##0.00"/>
      <fill>
        <patternFill patternType="none">
          <fgColor indexed="64"/>
          <bgColor auto="1"/>
        </patternFill>
      </fill>
      <alignment vertical="top" textRotation="0" wrapText="0" indent="0" justifyLastLine="0" shrinkToFit="0" readingOrder="0"/>
    </dxf>
    <dxf>
      <numFmt numFmtId="164" formatCode="&quot;$&quot;#,##0.00"/>
      <fill>
        <patternFill patternType="none">
          <fgColor indexed="64"/>
          <bgColor auto="1"/>
        </patternFill>
      </fill>
      <alignment vertical="top" textRotation="0" wrapText="0" indent="0" justifyLastLine="0" shrinkToFit="0" readingOrder="0"/>
    </dxf>
    <dxf>
      <numFmt numFmtId="164" formatCode="&quot;$&quot;#,##0.00"/>
      <fill>
        <patternFill patternType="solid">
          <fgColor indexed="64"/>
          <bgColor rgb="FFFFFF00"/>
        </patternFill>
      </fill>
      <alignment vertical="top" textRotation="0" wrapText="0" indent="0" justifyLastLine="0" shrinkToFit="0" readingOrder="0"/>
    </dxf>
    <dxf>
      <numFmt numFmtId="13" formatCode="0%"/>
      <fill>
        <patternFill patternType="none">
          <fgColor indexed="64"/>
          <bgColor auto="1"/>
        </patternFill>
      </fill>
      <alignment vertical="top" textRotation="0" wrapText="0" indent="0" justifyLastLine="0" shrinkToFit="0" readingOrder="0"/>
    </dxf>
    <dxf>
      <numFmt numFmtId="164" formatCode="&quot;$&quot;#,##0.00"/>
    </dxf>
    <dxf>
      <numFmt numFmtId="164" formatCode="&quot;$&quot;#,##0.00"/>
      <fill>
        <patternFill patternType="none">
          <fgColor indexed="64"/>
          <bgColor auto="1"/>
        </patternFill>
      </fill>
      <alignment vertical="top" textRotation="0" wrapText="0" indent="0" justifyLastLine="0" shrinkToFit="0" readingOrder="0"/>
    </dxf>
    <dxf>
      <numFmt numFmtId="1" formatCode="0"/>
      <fill>
        <patternFill patternType="none">
          <fgColor indexed="64"/>
          <bgColor auto="1"/>
        </patternFill>
      </fill>
      <alignment vertical="top" textRotation="0" wrapText="0" indent="0" justifyLastLine="0" shrinkToFit="0" readingOrder="0"/>
    </dxf>
    <dxf>
      <numFmt numFmtId="164" formatCode="&quot;$&quot;#,##0.00"/>
      <fill>
        <patternFill patternType="none">
          <fgColor indexed="64"/>
          <bgColor auto="1"/>
        </patternFill>
      </fill>
      <alignment vertical="top" textRotation="0" wrapText="0" indent="0" justifyLastLine="0" shrinkToFit="0" readingOrder="0"/>
    </dxf>
    <dxf>
      <numFmt numFmtId="164" formatCode="&quot;$&quot;#,##0.00"/>
      <fill>
        <patternFill patternType="none">
          <fgColor indexed="64"/>
          <bgColor auto="1"/>
        </patternFill>
      </fill>
      <alignment vertical="top" textRotation="0" wrapText="0" indent="0" justifyLastLine="0" shrinkToFit="0" readingOrder="0"/>
    </dxf>
    <dxf>
      <numFmt numFmtId="0" formatCode="General"/>
      <fill>
        <patternFill patternType="none">
          <fgColor indexed="64"/>
          <bgColor auto="1"/>
        </patternFill>
      </fill>
      <alignment vertical="top" textRotation="0" wrapText="0" indent="0" justifyLastLine="0" shrinkToFit="0" readingOrder="0"/>
    </dxf>
    <dxf>
      <numFmt numFmtId="30" formatCode="@"/>
      <fill>
        <patternFill patternType="none">
          <fgColor indexed="64"/>
          <bgColor auto="1"/>
        </patternFill>
      </fill>
      <alignment vertical="top" textRotation="0" wrapText="0" indent="0" justifyLastLine="0" shrinkToFit="0" readingOrder="0"/>
    </dxf>
    <dxf>
      <numFmt numFmtId="1" formatCode="0"/>
      <fill>
        <patternFill patternType="none">
          <fgColor indexed="64"/>
          <bgColor auto="1"/>
        </patternFill>
      </fill>
      <alignment horizontal="general" vertical="top" textRotation="0" wrapText="0" indent="0" justifyLastLine="0" shrinkToFit="0" readingOrder="0"/>
    </dxf>
    <dxf>
      <numFmt numFmtId="3" formatCode="#,##0"/>
      <fill>
        <patternFill patternType="none">
          <fgColor indexed="64"/>
          <bgColor auto="1"/>
        </patternFill>
      </fill>
      <alignment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font>
      <fill>
        <patternFill patternType="none">
          <fgColor indexed="64"/>
          <bgColor auto="1"/>
        </patternFill>
      </fill>
      <alignment horizontal="left" vertical="top" textRotation="0" wrapText="0" indent="0" justifyLastLine="0" shrinkToFit="0" readingOrder="0"/>
    </dxf>
    <dxf>
      <alignment vertical="top" textRotation="0" wrapText="0" indent="0" justifyLastLine="0" shrinkToFit="0" readingOrder="0"/>
    </dxf>
    <dxf>
      <border diagonalUp="0" diagonalDown="0">
        <left/>
        <right/>
        <top/>
        <bottom/>
      </border>
    </dxf>
    <dxf>
      <alignment vertical="top" textRotation="0" wrapText="0" indent="0" justifyLastLine="0" shrinkToFit="0" readingOrder="0"/>
    </dxf>
    <dxf>
      <alignment vertical="top" textRotation="0" wrapText="0" indent="0" justifyLastLine="0" shrinkToFit="0" readingOrder="0"/>
      <border diagonalUp="0" diagonalDown="0" outline="0">
        <left style="thin">
          <color theme="4" tint="0.39994506668294322"/>
        </left>
        <right style="thin">
          <color theme="4" tint="0.39994506668294322"/>
        </right>
        <top/>
        <bottom/>
      </border>
    </dxf>
    <dxf>
      <fill>
        <patternFill>
          <bgColor theme="0"/>
        </patternFill>
      </fill>
      <border>
        <left style="thin">
          <color theme="8" tint="0.39994506668294322"/>
        </left>
        <right style="thin">
          <color theme="8" tint="0.39994506668294322"/>
        </right>
        <top style="thin">
          <color theme="8" tint="0.39994506668294322"/>
        </top>
        <bottom style="thin">
          <color theme="8" tint="0.39994506668294322"/>
        </bottom>
        <vertical style="thin">
          <color theme="8" tint="0.39994506668294322"/>
        </vertical>
        <horizontal style="thin">
          <color theme="8" tint="0.39994506668294322"/>
        </horizontal>
      </border>
    </dxf>
    <dxf>
      <fill>
        <patternFill>
          <bgColor theme="8" tint="0.79998168889431442"/>
        </patternFill>
      </fill>
      <border>
        <left style="thin">
          <color theme="8" tint="0.39994506668294322"/>
        </left>
        <right style="thin">
          <color theme="8" tint="0.39994506668294322"/>
        </right>
        <top style="thin">
          <color theme="8" tint="0.39994506668294322"/>
        </top>
        <bottom style="thin">
          <color theme="8" tint="0.39994506668294322"/>
        </bottom>
        <vertical style="thin">
          <color theme="8" tint="0.39994506668294322"/>
        </vertical>
        <horizontal style="thin">
          <color theme="8" tint="0.39994506668294322"/>
        </horizontal>
      </border>
    </dxf>
    <dxf>
      <font>
        <b/>
        <i val="0"/>
        <color theme="0"/>
      </font>
      <fill>
        <patternFill>
          <bgColor theme="8"/>
        </patternFill>
      </fill>
      <border>
        <vertical style="thin">
          <color theme="0"/>
        </vertical>
      </border>
    </dxf>
    <dxf>
      <border>
        <left style="thin">
          <color theme="8" tint="0.39994506668294322"/>
        </left>
        <right style="thin">
          <color theme="8" tint="0.39994506668294322"/>
        </right>
        <top style="thin">
          <color theme="8" tint="0.39994506668294322"/>
        </top>
        <bottom style="thin">
          <color theme="8" tint="0.39994506668294322"/>
        </bottom>
        <vertical/>
        <horizontal/>
      </border>
    </dxf>
    <dxf>
      <fill>
        <patternFill>
          <bgColor theme="0"/>
        </patternFill>
      </fill>
      <border>
        <left style="thin">
          <color theme="8" tint="0.39994506668294322"/>
        </left>
        <right style="thin">
          <color theme="8" tint="0.39994506668294322"/>
        </right>
        <top style="thin">
          <color theme="8" tint="0.39994506668294322"/>
        </top>
        <bottom style="thin">
          <color theme="8" tint="0.39994506668294322"/>
        </bottom>
        <vertical style="thin">
          <color theme="8" tint="0.39994506668294322"/>
        </vertical>
        <horizontal style="thin">
          <color theme="8" tint="0.39994506668294322"/>
        </horizontal>
      </border>
    </dxf>
    <dxf>
      <fill>
        <patternFill>
          <bgColor theme="8" tint="0.79998168889431442"/>
        </patternFill>
      </fill>
      <border>
        <left style="thin">
          <color theme="8" tint="0.39994506668294322"/>
        </left>
        <right style="thin">
          <color theme="8" tint="0.39994506668294322"/>
        </right>
        <top style="thin">
          <color theme="8" tint="0.39994506668294322"/>
        </top>
        <bottom style="thin">
          <color theme="8" tint="0.39994506668294322"/>
        </bottom>
        <vertical style="thin">
          <color theme="8" tint="0.39994506668294322"/>
        </vertical>
        <horizontal style="thin">
          <color theme="8" tint="0.39994506668294322"/>
        </horizontal>
      </border>
    </dxf>
    <dxf>
      <font>
        <b/>
        <i val="0"/>
        <color theme="0"/>
      </font>
      <fill>
        <patternFill>
          <bgColor theme="8"/>
        </patternFill>
      </fill>
      <border>
        <vertical style="thin">
          <color theme="0"/>
        </vertical>
        <horizontal style="thin">
          <color theme="0"/>
        </horizontal>
      </border>
    </dxf>
    <dxf>
      <border>
        <left style="thin">
          <color theme="8"/>
        </left>
        <right style="thin">
          <color theme="8"/>
        </right>
        <top style="thin">
          <color theme="8"/>
        </top>
        <bottom style="thin">
          <color theme="8"/>
        </bottom>
      </border>
    </dxf>
  </dxfs>
  <tableStyles count="2" defaultTableStyle="TableStyleMedium2" defaultPivotStyle="PivotStyleLight16">
    <tableStyle name="MAI ShoWat Horizontal" pivot="0" count="4" xr9:uid="{163378CB-5D07-45A0-8762-7A9D98ABD6D1}">
      <tableStyleElement type="wholeTable" dxfId="72"/>
      <tableStyleElement type="firstColumn" dxfId="71"/>
      <tableStyleElement type="firstRowStripe" dxfId="70"/>
      <tableStyleElement type="secondRowStripe" dxfId="69"/>
    </tableStyle>
    <tableStyle name="Table Style 1" pivot="0" count="4" xr9:uid="{9F62763C-C52F-4E44-817D-74C18BD26201}">
      <tableStyleElement type="wholeTable" dxfId="68"/>
      <tableStyleElement type="headerRow" dxfId="67"/>
      <tableStyleElement type="firstRowStripe" dxfId="66"/>
      <tableStyleElement type="secondRowStripe" dxfId="6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9525</xdr:colOff>
          <xdr:row>0</xdr:row>
          <xdr:rowOff>9525</xdr:rowOff>
        </xdr:from>
        <xdr:to>
          <xdr:col>23</xdr:col>
          <xdr:colOff>57150</xdr:colOff>
          <xdr:row>1</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RFQ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1</xdr:row>
          <xdr:rowOff>161925</xdr:rowOff>
        </xdr:from>
        <xdr:to>
          <xdr:col>24</xdr:col>
          <xdr:colOff>66675</xdr:colOff>
          <xdr:row>3</xdr:row>
          <xdr:rowOff>114300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Entry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3</xdr:row>
          <xdr:rowOff>123825</xdr:rowOff>
        </xdr:from>
        <xdr:to>
          <xdr:col>24</xdr:col>
          <xdr:colOff>47625</xdr:colOff>
          <xdr:row>5</xdr:row>
          <xdr:rowOff>76200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Quote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495300</xdr:colOff>
          <xdr:row>5</xdr:row>
          <xdr:rowOff>95250</xdr:rowOff>
        </xdr:from>
        <xdr:to>
          <xdr:col>23</xdr:col>
          <xdr:colOff>1066800</xdr:colOff>
          <xdr:row>8</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Text  Only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600075</xdr:colOff>
          <xdr:row>5</xdr:row>
          <xdr:rowOff>85725</xdr:rowOff>
        </xdr:from>
        <xdr:to>
          <xdr:col>22</xdr:col>
          <xdr:colOff>676275</xdr:colOff>
          <xdr:row>8</xdr:row>
          <xdr:rowOff>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E-mail Quote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695325</xdr:colOff>
          <xdr:row>5</xdr:row>
          <xdr:rowOff>85725</xdr:rowOff>
        </xdr:from>
        <xdr:to>
          <xdr:col>23</xdr:col>
          <xdr:colOff>466725</xdr:colOff>
          <xdr:row>8</xdr:row>
          <xdr:rowOff>19050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Internal Quote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76200</xdr:colOff>
          <xdr:row>0</xdr:row>
          <xdr:rowOff>9525</xdr:rowOff>
        </xdr:from>
        <xdr:to>
          <xdr:col>24</xdr:col>
          <xdr:colOff>0</xdr:colOff>
          <xdr:row>1</xdr:row>
          <xdr:rowOff>85725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RFQ E-mail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381000</xdr:colOff>
          <xdr:row>3</xdr:row>
          <xdr:rowOff>85725</xdr:rowOff>
        </xdr:from>
        <xdr:to>
          <xdr:col>10</xdr:col>
          <xdr:colOff>76200</xdr:colOff>
          <xdr:row>6</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Calibration RFQ e-mail</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6B4FCA5-BD85-4902-B05C-A0ECE92A01DE}" name="MAIN_TABLE" displayName="MAIN_TABLE" ref="A1:T2" headerRowDxfId="64" dataDxfId="63" totalsRowDxfId="61" tableBorderDxfId="62">
  <autoFilter ref="A1:T2" xr:uid="{B100F7A4-821E-46B1-BE6D-8C2F7E3B6877}"/>
  <tableColumns count="20">
    <tableColumn id="1" xr3:uid="{59FADBC6-A74B-4967-9044-14AA2611CFFF}" name="#" totalsRowLabel="Total" dataDxfId="60" totalsRowDxfId="59">
      <calculatedColumnFormula>IF(A1="#",1,A1+1)</calculatedColumnFormula>
    </tableColumn>
    <tableColumn id="2" xr3:uid="{E62E2AD4-5826-4257-87DC-8D3E0D3E96DB}" name="QTY" dataDxfId="58"/>
    <tableColumn id="3" xr3:uid="{620F444C-D8FD-40CE-A20C-0CCDC9B64563}" name="UOM" dataDxfId="57">
      <calculatedColumnFormula>IF(B2&lt;&gt;"","EA","")</calculatedColumnFormula>
    </tableColumn>
    <tableColumn id="4" xr3:uid="{1181D74B-D3F8-48DD-A3CB-3E02C3044CED}" name="Part #" dataDxfId="56"/>
    <tableColumn id="5" xr3:uid="{4C5F7960-F00C-4FFF-B8CC-388DE6EAB320}" name="Description" dataDxfId="55"/>
    <tableColumn id="18" xr3:uid="{13790365-AEB5-4E86-BB39-0B7B514C2F09}" name="Net Price" dataDxfId="54"/>
    <tableColumn id="6" xr3:uid="{CCDB1F3C-14E4-45D7-8AA9-203BB4BA9EE3}" name="Price" dataDxfId="53">
      <calculatedColumnFormula>IFERROR(InvoicePricer(J2,M2,F2,N2,$X$29,$Z$29),0)</calculatedColumnFormula>
    </tableColumn>
    <tableColumn id="7" xr3:uid="{3AC70985-7803-42AF-B32C-6F8266F432F4}" name="Per" dataDxfId="52">
      <calculatedColumnFormula>IF(F2&lt;&gt;"",MAIN_TABLE[UOM],"")</calculatedColumnFormula>
    </tableColumn>
    <tableColumn id="12" xr3:uid="{50BE646F-2F9B-4194-89E1-37C9F5435D5D}" name="Ext Price" totalsRowFunction="sum" dataDxfId="51" totalsRowDxfId="50">
      <calculatedColumnFormula>MAIN_TABLE[[#This Row],[QTY]]*MAIN_TABLE[[#This Row],[Price]]</calculatedColumnFormula>
    </tableColumn>
    <tableColumn id="10" xr3:uid="{F95CD9F5-FFA6-406A-B0A7-E465FAE10A3D}" name="Markup" dataDxfId="49">
      <calculatedColumnFormula>$X$15</calculatedColumnFormula>
    </tableColumn>
    <tableColumn id="15" xr3:uid="{3EB589BA-6BD9-4C12-842C-CA11E858FAF6}" name="Freight" dataDxfId="48"/>
    <tableColumn id="11" xr3:uid="{65CE78C7-8DFD-4B22-9EB4-17DD8300582D}" name="Ext List" dataDxfId="47">
      <calculatedColumnFormula>MAIN_TABLE[[#This Row],[QTY]]*MAIN_TABLE[[#This Row],[Net Price]]</calculatedColumnFormula>
    </tableColumn>
    <tableColumn id="16" xr3:uid="{3CB7E650-27CC-4F6D-9D1E-474212C7C148}" name="Tot Fregiht" dataDxfId="46">
      <calculatedColumnFormula>SUM(MAIN_TABLE[Freight])</calculatedColumnFormula>
    </tableColumn>
    <tableColumn id="13" xr3:uid="{67F5DFF6-BE56-48E4-8B0A-BC5CBD75AEF1}" name="Tot List" dataDxfId="45">
      <calculatedColumnFormula>SUM(MAIN_TABLE[Ext List])</calculatedColumnFormula>
    </tableColumn>
    <tableColumn id="14" xr3:uid="{C74D7D43-0D32-4EE7-8765-BCCFC0A785E1}" name="Tot Inv" dataDxfId="44">
      <calculatedColumnFormula>SUM(MAIN_TABLE[Ext Price])</calculatedColumnFormula>
    </tableColumn>
    <tableColumn id="19" xr3:uid="{9C45123D-29A5-43BD-8998-37A769193EA0}" name="Lead Time (Weeks)" dataDxfId="43"/>
    <tableColumn id="8" xr3:uid="{A9103C34-AE63-4E8E-AF61-99F7E1DE5EA5}" name="*Lead Time" dataDxfId="42">
      <calculatedColumnFormula>IF(MAIN_TABLE[[#This Row],[Net Price]]=0,"",LeadTimeText(MAIN_TABLE[[#This Row],[Lead Time (Weeks)]]))</calculatedColumnFormula>
    </tableColumn>
    <tableColumn id="17" xr3:uid="{44658B7C-42C1-4938-B0CE-1789F2FAF571}" name="Vendor" dataDxfId="41"/>
    <tableColumn id="9" xr3:uid="{47B53828-EDDF-4BC7-8A9A-45A5EF783D8C}" name="COC" totalsRowFunction="count" dataDxfId="40"/>
    <tableColumn id="21" xr3:uid="{A2D7AEBC-25BA-4D25-935A-8D936604143B}" name="COC Same?" dataDxfId="39" totalsRowDxfId="38">
      <calculatedColumnFormula>IF(AND(NOT(INDIRECT(ADDRESS(CELL("row",S2),19))=INDIRECT(ADDRESS(CELL("row",S2)+1,19))),NOT(INDIRECT(ADDRESS(CELL("row",S2)+1,19))=0)),TRUE,FALSE)</calculatedColumnFormula>
    </tableColumn>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EF14481-A980-474F-8987-F635913F4050}" name="Table8" displayName="Table8" ref="W20:X22" headerRowCount="0" headerRowDxfId="37" dataDxfId="36" totalsRowDxfId="35">
  <tableColumns count="2">
    <tableColumn id="1" xr3:uid="{F0DF1830-09EE-4AAA-BE75-B8D5713E0F59}" name="Column1" totalsRowLabel="Total" headerRowDxfId="34" dataDxfId="33" totalsRowDxfId="32"/>
    <tableColumn id="2" xr3:uid="{BE63724E-5F39-462B-A8F6-5DA375F60813}" name="Column2" totalsRowFunction="count" headerRowDxfId="31" dataDxfId="30" totalsRowDxfId="29"/>
  </tableColumns>
  <tableStyleInfo name="MAI ShoWat Horizontal"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D8DFFCF-EB11-48C1-97AA-4C4F92FC9E92}" name="Table14785" displayName="Table14785" ref="A1:G2" totalsRowShown="0" headerRowDxfId="28" dataDxfId="27" tableBorderDxfId="26">
  <autoFilter ref="A1:G2" xr:uid="{B100F7A4-821E-46B1-BE6D-8C2F7E3B6877}">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8A9F4AE8-C147-4E3B-AECF-DA894B5F6F19}" name="Line" dataDxfId="25">
      <calculatedColumnFormula>IF(A1="Line",1,A1+1)</calculatedColumnFormula>
    </tableColumn>
    <tableColumn id="4" xr3:uid="{52D74A9A-3DF1-4B1E-B890-BBA83375B7AE}" name="Part #" dataDxfId="24"/>
    <tableColumn id="5" xr3:uid="{C14D0D6F-DA23-4E7C-B323-83C98BBF267B}" name="Description" dataDxfId="23"/>
    <tableColumn id="18" xr3:uid="{AC548C6F-CB3B-4548-9B49-C92F3029BF52}" name="Serial #" dataDxfId="22"/>
    <tableColumn id="8" xr3:uid="{00FA2C91-79E8-44B5-B51D-2E2B6491B067}" name="Customer Ref #" dataDxfId="21"/>
    <tableColumn id="9" xr3:uid="{F86E045E-8158-459E-B845-FB57E679DB27}" name="Addendum" dataDxfId="20">
      <calculatedColumnFormula xml:space="preserve"> CHAR(10) &amp; "PLEASE MAKE SURE TO INCLUDE BELOW IN CAL CERT:" &amp; CHAR(10) &amp; "1. THE CORRECT P/N, S/N, CUSTOMER’S REFERENCE #" &amp; CHAR(10) &amp; "2. BEFORE AND AFTER DATA" &amp; CHAR(10) &amp; "(IF THE BEFORE DATA IS NOT AVAILABLE, PLEASE EXPLAIN WHY)" &amp; CHAR(10) &amp; "3. STANDARD VALUE, TOLERANCE ACTUAL DATA" &amp; CHAR(10) &amp; "4. REPAIR OR REPLACEMENT" &amp; CHAR(10) &amp; "5. ORIGINAL DOCUMENTATION"</calculatedColumnFormula>
    </tableColumn>
    <tableColumn id="6" xr3:uid="{223C675A-DFAA-4FED-8F32-DA9C85FA2920}" name="Full One Cell Description" dataDxfId="19">
      <calculatedColumnFormula>"P/N: "&amp;Table14785[[#This Row],[Part '#]] &amp; CHAR(10) &amp;"DESC: "&amp; Table14785[[#This Row],[Description]] &amp; CHAR(10) &amp; "S/N: " &amp; Table14785[[#This Row],[Serial '#]] &amp; CHAR(10) &amp; "Customer Ref #: " &amp; Table14785[[#This Row],[Customer Ref '#]] &amp; Table14785[[#This Row],[Addendum]]</calculatedColumnFormula>
    </tableColumn>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0D87086-7A30-407E-BFCE-D2A42BD577FE}" name="Table4" displayName="Table4" ref="A2:F5" totalsRowShown="0" headerRowDxfId="18">
  <autoFilter ref="A2:F5" xr:uid="{9D7C3E33-BD1F-4D7B-9C89-1637A326CF03}"/>
  <tableColumns count="6">
    <tableColumn id="1" xr3:uid="{D11186E6-D7E7-4B29-9768-6639BBDAF7AF}" name="Part #"/>
    <tableColumn id="2" xr3:uid="{AA446461-B9CB-4C5E-AEE1-7C6ED295FE59}" name="Descrption Lines"/>
    <tableColumn id="3" xr3:uid="{A12AF9E5-EE22-4AB4-91DC-96F55AD2B40C}" name="Description 1 line" dataDxfId="17">
      <calculatedColumnFormula>IF(F4=0,E3,FALSE)</calculatedColumnFormula>
    </tableColumn>
    <tableColumn id="4" xr3:uid="{0F9750F4-C1DB-4B13-8091-6DE63F0D501E}" name="Delimiter" dataDxfId="16">
      <calculatedColumnFormula>", "</calculatedColumnFormula>
    </tableColumn>
    <tableColumn id="5" xr3:uid="{51FD4D79-3C2A-45F1-8DEB-A74B891C170E}" name="calc 1">
      <calculatedColumnFormula>IF(ISBLANK(A3)=TRUE,E2&amp;D3&amp;B3,B3)</calculatedColumnFormula>
    </tableColumn>
    <tableColumn id="6" xr3:uid="{0E4283D9-6730-4732-BDFB-2D3A6C28F6E1}" name="calc 2">
      <calculatedColumnFormula>IF(ISBLANK(A3)=TRUE,F2+1,0)</calculatedColumnFormula>
    </tableColumn>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CF8CEE6-F52D-467F-92B1-B458054AE715}" name="Table5" displayName="Table5" ref="H2:I3" totalsRowShown="0" headerRowDxfId="15">
  <autoFilter ref="H2:I3" xr:uid="{0D3FA113-16BC-4E34-A662-8B883291ACCA}"/>
  <tableColumns count="2">
    <tableColumn id="1" xr3:uid="{04F6D2E4-6966-4AFD-9944-109B4E00372D}" name="Spaced"/>
    <tableColumn id="2" xr3:uid="{952DAE2E-6892-4992-A32C-D5F248769948}" name="Tabbed">
      <calculatedColumnFormula>Spc2Tab(H3)</calculatedColumnFormula>
    </tableColumn>
  </tableColumns>
  <tableStyleInfo name="Table Sty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9B77ECD-4581-4C6B-A102-C35E5242DCCB}" name="Table68" displayName="Table68" ref="K2:M3" totalsRowShown="0" headerRowDxfId="14">
  <autoFilter ref="K2:M3" xr:uid="{FFB94E76-905B-4F22-BFBC-5686649FAD4A}"/>
  <tableColumns count="3">
    <tableColumn id="1" xr3:uid="{B8F51746-C37E-4B5C-9EE4-DBB0F568017C}" name="Text"/>
    <tableColumn id="2" xr3:uid="{DB3135C8-458B-411D-83A3-0E29B95DFD5C}" name="Repeating Delimiter"/>
    <tableColumn id="3" xr3:uid="{0EF1DD1B-C97E-47FD-B485-7E8BA917DDA0}" name="Tabbed">
      <calculatedColumnFormula>RepeatChar2Tab(K3,L3)</calculatedColumnFormula>
    </tableColumn>
  </tableColumns>
  <tableStyleInfo name="Table Sty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A1CD3BD-E7C2-4A38-B352-266CBD64063E}" name="Table7" displayName="Table7" ref="O2:R3" totalsRowShown="0" headerRowDxfId="13">
  <autoFilter ref="O2:R3" xr:uid="{0DD73C48-0B7C-4947-BC97-037F5C728FCB}"/>
  <tableColumns count="4">
    <tableColumn id="1" xr3:uid="{4B9C1043-097A-4504-A70D-F042856C4595}" name="Text"/>
    <tableColumn id="2" xr3:uid="{5AA7C810-CBA3-433C-8FC8-1C75CB36B443}" name="Old Text">
      <calculatedColumnFormula>RIGHT(Table7[[#This Row],[Text]],2)</calculatedColumnFormula>
    </tableColumn>
    <tableColumn id="3" xr3:uid="{C25C5099-D584-41C5-B5BC-CE88FD4EC720}" name="New Text"/>
    <tableColumn id="4" xr3:uid="{A65191B8-A149-4DCF-B5B3-C931BFC28E02}" name="Result">
      <calculatedColumnFormula>SUBSTITUTE(Table7[[#This Row],[Text]],Table7[[#This Row],[Old Text]],Table7[[#This Row],[New Text]])</calculatedColumnFormula>
    </tableColumn>
  </tableColumns>
  <tableStyleInfo name="Table Sty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EB2EF22-BDF7-4F1E-814F-64E602F9678E}" name="Table9" displayName="Table9" ref="T2:W5" totalsRowShown="0">
  <autoFilter ref="T2:W5" xr:uid="{C8E8932F-DE78-49C5-9B15-623B85B36BDE}"/>
  <tableColumns count="4">
    <tableColumn id="1" xr3:uid="{9D9D7DC9-1A75-4059-A9BB-282D8B2BC01E}" name="Vertical List"/>
    <tableColumn id="2" xr3:uid="{3DDE20A3-8967-4689-8586-C3D80B10D856}" name="QTY : " dataDxfId="12">
      <calculatedColumnFormula>IFERROR(IF(SEARCH($U$2,T3),SUBSTITUTE(T3,$U$2,""),FALSE),FALSE)</calculatedColumnFormula>
    </tableColumn>
    <tableColumn id="4" xr3:uid="{69E02FC3-E09B-4E8E-97EF-9254C1C28DD6}" name="P/N : " dataDxfId="11">
      <calculatedColumnFormula>IFERROR(IF(SEARCH($V$2,T3),SUBSTITUTE(T3,$V$2,""),FALSE),FALSE)</calculatedColumnFormula>
    </tableColumn>
    <tableColumn id="5" xr3:uid="{B0DCDECF-30FB-4551-BB01-DF327309229A}" name="Description : " dataDxfId="10">
      <calculatedColumnFormula>IFERROR(IF(SEARCH($W$2,T3),SUBSTITUTE(T3,$W$2,""),FALSE),FALSE)</calculatedColumnFormula>
    </tableColumn>
  </tableColumns>
  <tableStyleInfo name="Table Sty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C1451C0-1573-4E2D-A59C-7F6106A73D27}" name="Table13" displayName="Table13" ref="Y2:AA3" totalsRowShown="0">
  <autoFilter ref="Y2:AA3" xr:uid="{C7CE0D1C-4361-442C-A6FB-40D3BAD5C4F0}"/>
  <tableColumns count="3">
    <tableColumn id="1" xr3:uid="{3D1FE2CA-E3A2-41E0-85C2-3EAC8E2F7115}" name="Part "/>
    <tableColumn id="2" xr3:uid="{FED49F16-CF06-4F9D-BDBC-9A2CF31AC826}" name="QTY"/>
    <tableColumn id="3" xr3:uid="{3CB3388B-260C-4E13-B29C-39CC3498A415}" name="Combined">
      <calculatedColumnFormula>Y3&amp;","&amp;Z3</calculatedColumnFormula>
    </tableColumn>
  </tableColumns>
  <tableStyleInfo name="Table Sty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24BCAA4-7DDE-4C31-9BF3-6867CBB4ACE9}" name="CustID" displayName="CustID" ref="A1:J3" totalsRowShown="0">
  <autoFilter ref="A1:J3" xr:uid="{DC27165B-42B2-4419-8F9B-ED8555C82205}"/>
  <tableColumns count="10">
    <tableColumn id="6" xr3:uid="{3E09ACCC-F72A-4C22-8035-C0C8D83244DC}" name="Inquiry Prefix"/>
    <tableColumn id="1" xr3:uid="{76F6E633-8701-4C4C-8579-3AA4EEBBAE56}" name="Customer ID"/>
    <tableColumn id="2" xr3:uid="{839A2852-5329-4A9E-AC36-80B3062D1ABC}" name="Salute"/>
    <tableColumn id="3" xr3:uid="{2B98612F-EDF5-4D3A-962B-F05E21A25449}" name="email" dataDxfId="9">
      <calculatedColumnFormula>IFERROR(VLOOKUP(CustID[[#This Row],[Salute]],contacts[],2,FALSE),"")</calculatedColumnFormula>
    </tableColumn>
    <tableColumn id="4" xr3:uid="{5A20822A-CD76-4627-95DB-3A0F9E116F85}" name="CC" dataDxfId="8">
      <calculatedColumnFormula>IFERROR(VLOOKUP(CustID[[#This Row],[Salute]],contacts[],3,FALSE),"")</calculatedColumnFormula>
    </tableColumn>
    <tableColumn id="5" xr3:uid="{BA8C2A98-6211-4189-A949-745B6EEEF687}" name="Terms"/>
    <tableColumn id="7" xr3:uid="{2D706908-5FFF-4C41-85B5-8DF83E4FFDFA}" name="Default MU" dataDxfId="7"/>
    <tableColumn id="8" xr3:uid="{7C45CD12-839D-4ED4-8463-949C2523EB7B}" name="Min Profit" dataDxfId="6"/>
    <tableColumn id="9" xr3:uid="{3B99E7E9-30B4-4FAD-9D9B-725792C33234}" name="Min Margin" dataDxfId="5"/>
    <tableColumn id="10" xr3:uid="{539605F4-62EF-4018-B697-F09137E501B4}" name="Starting Freight" dataDxfId="4"/>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B38E5DB-F527-4021-9411-E3C29FFE1DF4}" name="contacts" displayName="contacts" ref="L1:N3" totalsRowShown="0" dataDxfId="3">
  <autoFilter ref="L1:N3" xr:uid="{95C620A7-2348-479D-91ED-B55C8F1AE146}"/>
  <tableColumns count="3">
    <tableColumn id="1" xr3:uid="{A4409DF7-A12F-40D5-B40B-1271C721C5BB}" name="Salute" dataDxfId="2"/>
    <tableColumn id="2" xr3:uid="{68E9592F-F631-4205-9E70-A1E4292A133E}" name="email" dataDxfId="1" dataCellStyle="Hyperlink"/>
    <tableColumn id="3" xr3:uid="{EB9F3659-7520-4A28-A0D1-4BABEC2457B3}" name="CC" dataDxfId="0" dataCellStyle="Hyperlink"/>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table" Target="../tables/table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3.xml"/><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7" Type="http://schemas.openxmlformats.org/officeDocument/2006/relationships/table" Target="../tables/table9.xml"/><Relationship Id="rId2" Type="http://schemas.openxmlformats.org/officeDocument/2006/relationships/table" Target="../tables/table4.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hyperlink" Target="mailto:jacknorth@northsoutheast.west" TargetMode="External"/><Relationship Id="rId2" Type="http://schemas.openxmlformats.org/officeDocument/2006/relationships/hyperlink" Target="mailto:janedoe@janedoe.etc" TargetMode="External"/><Relationship Id="rId1" Type="http://schemas.openxmlformats.org/officeDocument/2006/relationships/hyperlink" Target="mailto:johndoe@janedoe.etc" TargetMode="Externa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3AE837-4DE4-467E-B7C9-487F4AD3576A}">
  <sheetPr codeName="Sheet7"/>
  <dimension ref="A1:A15"/>
  <sheetViews>
    <sheetView workbookViewId="0">
      <selection activeCell="A16" sqref="A16"/>
    </sheetView>
  </sheetViews>
  <sheetFormatPr defaultRowHeight="15" x14ac:dyDescent="0.25"/>
  <sheetData>
    <row r="1" spans="1:1" x14ac:dyDescent="0.25">
      <c r="A1" s="1" t="s">
        <v>125</v>
      </c>
    </row>
    <row r="2" spans="1:1" x14ac:dyDescent="0.25">
      <c r="A2" t="s">
        <v>126</v>
      </c>
    </row>
    <row r="3" spans="1:1" x14ac:dyDescent="0.25">
      <c r="A3" t="s">
        <v>134</v>
      </c>
    </row>
    <row r="4" spans="1:1" x14ac:dyDescent="0.25">
      <c r="A4" t="s">
        <v>127</v>
      </c>
    </row>
    <row r="6" spans="1:1" x14ac:dyDescent="0.25">
      <c r="A6" s="1" t="s">
        <v>128</v>
      </c>
    </row>
    <row r="7" spans="1:1" x14ac:dyDescent="0.25">
      <c r="A7" t="s">
        <v>129</v>
      </c>
    </row>
    <row r="8" spans="1:1" x14ac:dyDescent="0.25">
      <c r="A8" t="s">
        <v>130</v>
      </c>
    </row>
    <row r="9" spans="1:1" x14ac:dyDescent="0.25">
      <c r="A9" t="s">
        <v>131</v>
      </c>
    </row>
    <row r="11" spans="1:1" x14ac:dyDescent="0.25">
      <c r="A11" s="1" t="s">
        <v>132</v>
      </c>
    </row>
    <row r="12" spans="1:1" x14ac:dyDescent="0.25">
      <c r="A12" t="s">
        <v>133</v>
      </c>
    </row>
    <row r="13" spans="1:1" x14ac:dyDescent="0.25">
      <c r="A13" t="s">
        <v>135</v>
      </c>
    </row>
    <row r="15" spans="1:1" x14ac:dyDescent="0.25">
      <c r="A15" t="s">
        <v>136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D77E1-96A6-4091-A38F-AFE607E7519B}">
  <sheetPr codeName="Sheet211"/>
  <dimension ref="A1:AB29"/>
  <sheetViews>
    <sheetView showZeros="0" tabSelected="1" zoomScaleNormal="100" workbookViewId="0">
      <selection activeCell="D2" sqref="D2"/>
    </sheetView>
  </sheetViews>
  <sheetFormatPr defaultRowHeight="15" x14ac:dyDescent="0.25"/>
  <cols>
    <col min="1" max="1" width="3.85546875" style="21" customWidth="1"/>
    <col min="2" max="2" width="5.7109375" style="21" customWidth="1"/>
    <col min="3" max="3" width="4.85546875" style="21" customWidth="1"/>
    <col min="4" max="4" width="15.7109375" style="21" customWidth="1"/>
    <col min="5" max="5" width="20.7109375" style="21" customWidth="1"/>
    <col min="6" max="7" width="15.7109375" style="21" customWidth="1"/>
    <col min="8" max="8" width="5.7109375" style="21" hidden="1" customWidth="1"/>
    <col min="9" max="9" width="15.7109375" style="21" hidden="1" customWidth="1"/>
    <col min="10" max="11" width="9.140625" style="21" customWidth="1"/>
    <col min="12" max="15" width="9.140625" style="21" hidden="1" customWidth="1"/>
    <col min="16" max="16" width="20.7109375" style="21" customWidth="1"/>
    <col min="17" max="17" width="15.7109375" style="21" hidden="1" customWidth="1"/>
    <col min="18" max="18" width="20.7109375" style="21" customWidth="1"/>
    <col min="19" max="19" width="10.7109375" style="21" customWidth="1"/>
    <col min="20" max="21" width="19.5703125" style="2" hidden="1" customWidth="1"/>
    <col min="22" max="22" width="9.140625" style="2" customWidth="1"/>
    <col min="23" max="23" width="11.85546875" style="2" customWidth="1"/>
    <col min="24" max="24" width="16.140625" style="2" customWidth="1"/>
    <col min="25" max="26" width="9.140625" style="2" customWidth="1"/>
    <col min="27" max="16384" width="9.140625" style="2"/>
  </cols>
  <sheetData>
    <row r="1" spans="1:28" x14ac:dyDescent="0.25">
      <c r="A1" s="21" t="s">
        <v>0</v>
      </c>
      <c r="B1" s="21" t="s">
        <v>1</v>
      </c>
      <c r="C1" s="21" t="s">
        <v>74</v>
      </c>
      <c r="D1" s="21" t="s">
        <v>2</v>
      </c>
      <c r="E1" s="21" t="s">
        <v>3</v>
      </c>
      <c r="F1" s="21" t="s">
        <v>11</v>
      </c>
      <c r="G1" s="21" t="s">
        <v>4</v>
      </c>
      <c r="H1" s="21" t="s">
        <v>5</v>
      </c>
      <c r="I1" s="21" t="s">
        <v>94</v>
      </c>
      <c r="J1" s="21" t="s">
        <v>90</v>
      </c>
      <c r="K1" s="21" t="s">
        <v>6</v>
      </c>
      <c r="L1" s="21" t="s">
        <v>7</v>
      </c>
      <c r="M1" s="21" t="s">
        <v>10</v>
      </c>
      <c r="N1" s="21" t="s">
        <v>8</v>
      </c>
      <c r="O1" s="21" t="s">
        <v>9</v>
      </c>
      <c r="P1" s="21" t="s">
        <v>39</v>
      </c>
      <c r="Q1" s="21" t="s">
        <v>40</v>
      </c>
      <c r="R1" s="21" t="s">
        <v>18</v>
      </c>
      <c r="S1" s="21" t="s">
        <v>31</v>
      </c>
      <c r="T1" s="14" t="s">
        <v>48</v>
      </c>
      <c r="X1" s="2" t="s">
        <v>93</v>
      </c>
      <c r="AB1" s="2" t="s">
        <v>121</v>
      </c>
    </row>
    <row r="2" spans="1:28" x14ac:dyDescent="0.25">
      <c r="A2" s="22">
        <f>IF(A1="#",1,A1+1)</f>
        <v>1</v>
      </c>
      <c r="B2" s="23"/>
      <c r="C2" s="24" t="str">
        <f>IF(B2&lt;&gt;"","EA","")</f>
        <v/>
      </c>
      <c r="D2" s="25"/>
      <c r="E2" s="34"/>
      <c r="F2" s="26"/>
      <c r="G2" s="26">
        <f ca="1">IFERROR(InvoicePricer(J2,M2,F2,N2,$X$29,$Z$29),0)</f>
        <v>0</v>
      </c>
      <c r="H2" s="24" t="str">
        <f>IF(F2&lt;&gt;"",MAIN_TABLE[UOM],"")</f>
        <v/>
      </c>
      <c r="I2" s="26">
        <f ca="1">MAIN_TABLE[[#This Row],[QTY]]*MAIN_TABLE[[#This Row],[Price]]</f>
        <v>0</v>
      </c>
      <c r="J2" s="27">
        <f ca="1">$X$15</f>
        <v>0.2</v>
      </c>
      <c r="K2" s="30">
        <f ca="1">IFERROR(VLOOKUP(X10,CustID[[Customer ID]:[Starting Freight]],9,FALSE),30)</f>
        <v>20</v>
      </c>
      <c r="L2" s="26">
        <f>MAIN_TABLE[[#This Row],[QTY]]*MAIN_TABLE[[#This Row],[Net Price]]</f>
        <v>0</v>
      </c>
      <c r="M2" s="26">
        <f ca="1">SUM(MAIN_TABLE[Freight])</f>
        <v>20</v>
      </c>
      <c r="N2" s="26">
        <f>SUM(MAIN_TABLE[Ext List])</f>
        <v>0</v>
      </c>
      <c r="O2" s="26">
        <f ca="1">SUM(MAIN_TABLE[Ext Price])</f>
        <v>0</v>
      </c>
      <c r="P2" s="23"/>
      <c r="Q2" s="21" t="str">
        <f>IF(MAIN_TABLE[[#This Row],[Net Price]]=0,"",LeadTimeText(MAIN_TABLE[[#This Row],[Lead Time (Weeks)]]))</f>
        <v/>
      </c>
      <c r="R2" s="26"/>
      <c r="S2" s="26" t="s">
        <v>47</v>
      </c>
      <c r="T2" s="12" t="b">
        <f ca="1">IF(AND(NOT(INDIRECT(ADDRESS(CELL("row",S2),19))=INDIRECT(ADDRESS(CELL("row",S2)+1,19))),NOT(INDIRECT(ADDRESS(CELL("row",S2)+1,19))=0)),TRUE,FALSE)</f>
        <v>0</v>
      </c>
      <c r="U2" s="6"/>
    </row>
    <row r="3" spans="1:28" x14ac:dyDescent="0.25">
      <c r="AB3" s="2" t="s">
        <v>122</v>
      </c>
    </row>
    <row r="5" spans="1:28" x14ac:dyDescent="0.25">
      <c r="X5" s="2">
        <f>COUNTA(MAIN_TABLE['#])</f>
        <v>1</v>
      </c>
    </row>
    <row r="9" spans="1:28" x14ac:dyDescent="0.25">
      <c r="Y9" s="19"/>
    </row>
    <row r="10" spans="1:28" x14ac:dyDescent="0.25">
      <c r="W10" s="8" t="s">
        <v>21</v>
      </c>
      <c r="X10" s="17" t="str">
        <f ca="1">IFERROR(VLOOKUP(MID(X11,1,3),CustID[],2,FALSE),"")</f>
        <v>CUST001</v>
      </c>
      <c r="AB10" s="2" t="s">
        <v>111</v>
      </c>
    </row>
    <row r="11" spans="1:28" x14ac:dyDescent="0.25">
      <c r="W11" s="8" t="s">
        <v>15</v>
      </c>
      <c r="X11" s="20" t="str">
        <f ca="1">SUBSTITUTE(MID(CELL("filename",A1),FIND("[",CELL("filename",A1))+1,FIND("]", CELL("filename",A1))-FIND("[",CELL("filename",A1))-1),".xlsm","")</f>
        <v>RFQ_and_QUOTE_Form</v>
      </c>
      <c r="Y11" s="33"/>
      <c r="AB11" s="2" t="s">
        <v>110</v>
      </c>
    </row>
    <row r="12" spans="1:28" x14ac:dyDescent="0.25">
      <c r="W12" s="8" t="s">
        <v>46</v>
      </c>
      <c r="X12" s="21" t="str">
        <f ca="1">IFERROR(VLOOKUP($X$10,CustID[[Customer ID]:[Default MU]],2,FALSE),"Dear Valued Customer")</f>
        <v>Hi John</v>
      </c>
    </row>
    <row r="13" spans="1:28" x14ac:dyDescent="0.25">
      <c r="W13" s="8" t="s">
        <v>42</v>
      </c>
      <c r="X13" s="20" t="str">
        <f ca="1">IFERROR(VLOOKUP($X$12,contacts[],2,FALSE),"")</f>
        <v>johndoe@janedoe.etc</v>
      </c>
      <c r="Y13" s="8" t="s">
        <v>77</v>
      </c>
      <c r="Z13" s="20" t="str">
        <f ca="1">IFERROR(VLOOKUP($X$12,contacts[],3,FALSE),"")</f>
        <v>janedoe@janedoe.etc</v>
      </c>
    </row>
    <row r="14" spans="1:28" x14ac:dyDescent="0.25">
      <c r="W14" s="8"/>
    </row>
    <row r="15" spans="1:28" x14ac:dyDescent="0.25">
      <c r="W15" s="8" t="s">
        <v>50</v>
      </c>
      <c r="X15" s="18">
        <f ca="1">IFERROR(VLOOKUP($X$10,CustID[[Customer ID]:[Default MU]],6,FALSE),0.3)</f>
        <v>0.2</v>
      </c>
      <c r="AB15" s="2" t="s">
        <v>112</v>
      </c>
    </row>
    <row r="16" spans="1:28" x14ac:dyDescent="0.25">
      <c r="W16" s="8" t="s">
        <v>49</v>
      </c>
      <c r="X16" s="18"/>
      <c r="Y16" s="6" t="e">
        <f ca="1">IF(X18&gt;X15,N2*(1+X18)-O2,N2*(1+X15)-O2)</f>
        <v>#DIV/0!</v>
      </c>
      <c r="AB16" s="2" t="s">
        <v>113</v>
      </c>
    </row>
    <row r="17" spans="23:28" x14ac:dyDescent="0.25">
      <c r="W17" s="8" t="s">
        <v>52</v>
      </c>
      <c r="X17" s="16">
        <f ca="1">(1-X16)*(1+X15)-1</f>
        <v>0.19999999999999996</v>
      </c>
    </row>
    <row r="18" spans="23:28" x14ac:dyDescent="0.25">
      <c r="W18" s="8" t="s">
        <v>51</v>
      </c>
      <c r="X18" s="16" t="e">
        <f ca="1">O2/N2-1</f>
        <v>#DIV/0!</v>
      </c>
      <c r="AB18" s="2" t="s">
        <v>114</v>
      </c>
    </row>
    <row r="20" spans="23:28" x14ac:dyDescent="0.25">
      <c r="W20" s="2" t="s">
        <v>20</v>
      </c>
      <c r="AB20" s="2" t="s">
        <v>120</v>
      </c>
    </row>
    <row r="21" spans="23:28" x14ac:dyDescent="0.25">
      <c r="W21" s="2" t="s">
        <v>21</v>
      </c>
    </row>
    <row r="22" spans="23:28" x14ac:dyDescent="0.25">
      <c r="W22" s="2" t="s">
        <v>22</v>
      </c>
    </row>
    <row r="24" spans="23:28" x14ac:dyDescent="0.25">
      <c r="W24" s="8" t="s">
        <v>30</v>
      </c>
      <c r="X24" s="6">
        <f ca="1">MAIN!O2</f>
        <v>0</v>
      </c>
      <c r="AB24" s="2" t="s">
        <v>119</v>
      </c>
    </row>
    <row r="25" spans="23:28" x14ac:dyDescent="0.25">
      <c r="W25" s="8" t="s">
        <v>12</v>
      </c>
      <c r="X25" s="6">
        <f ca="1">O2-N2-M2</f>
        <v>-20</v>
      </c>
      <c r="AB25" s="2" t="s">
        <v>118</v>
      </c>
    </row>
    <row r="26" spans="23:28" x14ac:dyDescent="0.25">
      <c r="W26" s="8" t="s">
        <v>16</v>
      </c>
      <c r="X26" s="9" t="e">
        <f ca="1">X25/MAIN!O2</f>
        <v>#DIV/0!</v>
      </c>
      <c r="AB26" s="2" t="s">
        <v>117</v>
      </c>
    </row>
    <row r="27" spans="23:28" x14ac:dyDescent="0.25">
      <c r="W27" s="8" t="s">
        <v>75</v>
      </c>
      <c r="X27" s="21" t="str">
        <f ca="1">IFERROR(VLOOKUP($X$10,CustID[[Customer ID]:[Min Margin]],5,FALSE),"Full Prepayment")</f>
        <v>Net 30 Days</v>
      </c>
    </row>
    <row r="28" spans="23:28" x14ac:dyDescent="0.25">
      <c r="W28" s="8" t="s">
        <v>17</v>
      </c>
      <c r="X28" s="6">
        <f ca="1">IFERROR(ROUNDUP((30+MAX(MAIN_TABLE[Freight]))/(1-(1/(1+MAIN!X15))),-2),0)</f>
        <v>300</v>
      </c>
      <c r="AB28" s="2" t="s">
        <v>115</v>
      </c>
    </row>
    <row r="29" spans="23:28" x14ac:dyDescent="0.25">
      <c r="W29" s="8" t="s">
        <v>88</v>
      </c>
      <c r="X29" s="6">
        <f ca="1">IFERROR(VLOOKUP($X$10,CustID[[Customer ID]:[Min Margin]],7,FALSE),30)</f>
        <v>20</v>
      </c>
      <c r="Y29" s="8" t="s">
        <v>89</v>
      </c>
      <c r="Z29" s="9">
        <f ca="1">IFERROR(VLOOKUP($X$10,CustID[[Customer ID]:[Min Margin]],8,FALSE),0.1)</f>
        <v>0.1</v>
      </c>
      <c r="AB29" s="2" t="s">
        <v>116</v>
      </c>
    </row>
  </sheetData>
  <dataValidations disablePrompts="1" count="1">
    <dataValidation type="list" allowBlank="1" showInputMessage="1" showErrorMessage="1" sqref="S2" xr:uid="{10368DE3-CC7B-4834-82A9-78FB274F3D87}">
      <formula1>"None,MFR's,non-MFR's,Cal Cert"</formula1>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FQ_Form">
                <anchor moveWithCells="1" sizeWithCells="1">
                  <from>
                    <xdr:col>22</xdr:col>
                    <xdr:colOff>9525</xdr:colOff>
                    <xdr:row>0</xdr:row>
                    <xdr:rowOff>9525</xdr:rowOff>
                  </from>
                  <to>
                    <xdr:col>23</xdr:col>
                    <xdr:colOff>57150</xdr:colOff>
                    <xdr:row>1</xdr:row>
                    <xdr:rowOff>152400</xdr:rowOff>
                  </to>
                </anchor>
              </controlPr>
            </control>
          </mc:Choice>
        </mc:AlternateContent>
        <mc:AlternateContent xmlns:mc="http://schemas.openxmlformats.org/markup-compatibility/2006">
          <mc:Choice Requires="x14">
            <control shapeId="1030" r:id="rId5" name="Button 6">
              <controlPr defaultSize="0" print="0" autoFill="0" autoPict="0" macro="[0]!Entry_Form">
                <anchor moveWithCells="1" sizeWithCells="1">
                  <from>
                    <xdr:col>22</xdr:col>
                    <xdr:colOff>9525</xdr:colOff>
                    <xdr:row>1</xdr:row>
                    <xdr:rowOff>161925</xdr:rowOff>
                  </from>
                  <to>
                    <xdr:col>24</xdr:col>
                    <xdr:colOff>66675</xdr:colOff>
                    <xdr:row>3</xdr:row>
                    <xdr:rowOff>114300</xdr:rowOff>
                  </to>
                </anchor>
              </controlPr>
            </control>
          </mc:Choice>
        </mc:AlternateContent>
        <mc:AlternateContent xmlns:mc="http://schemas.openxmlformats.org/markup-compatibility/2006">
          <mc:Choice Requires="x14">
            <control shapeId="1032" r:id="rId6" name="Button 8">
              <controlPr defaultSize="0" print="0" autoFill="0" autoPict="0" macro="[0]!TextOnly_Quote">
                <anchor moveWithCells="1" sizeWithCells="1">
                  <from>
                    <xdr:col>23</xdr:col>
                    <xdr:colOff>495300</xdr:colOff>
                    <xdr:row>5</xdr:row>
                    <xdr:rowOff>95250</xdr:rowOff>
                  </from>
                  <to>
                    <xdr:col>23</xdr:col>
                    <xdr:colOff>1066800</xdr:colOff>
                    <xdr:row>8</xdr:row>
                    <xdr:rowOff>0</xdr:rowOff>
                  </to>
                </anchor>
              </controlPr>
            </control>
          </mc:Choice>
        </mc:AlternateContent>
        <mc:AlternateContent xmlns:mc="http://schemas.openxmlformats.org/markup-compatibility/2006">
          <mc:Choice Requires="x14">
            <control shapeId="1031" r:id="rId7" name="Button 7">
              <controlPr defaultSize="0" print="0" autoFill="0" autoPict="0" macro="[0]!Quote_Form">
                <anchor moveWithCells="1" sizeWithCells="1">
                  <from>
                    <xdr:col>22</xdr:col>
                    <xdr:colOff>9525</xdr:colOff>
                    <xdr:row>3</xdr:row>
                    <xdr:rowOff>123825</xdr:rowOff>
                  </from>
                  <to>
                    <xdr:col>24</xdr:col>
                    <xdr:colOff>47625</xdr:colOff>
                    <xdr:row>5</xdr:row>
                    <xdr:rowOff>76200</xdr:rowOff>
                  </to>
                </anchor>
              </controlPr>
            </control>
          </mc:Choice>
        </mc:AlternateContent>
        <mc:AlternateContent xmlns:mc="http://schemas.openxmlformats.org/markup-compatibility/2006">
          <mc:Choice Requires="x14">
            <control shapeId="1033" r:id="rId8" name="Button 9">
              <controlPr defaultSize="0" print="0" autoFill="0" autoPict="0" macro="[0]!Quote_email">
                <anchor moveWithCells="1" sizeWithCells="1">
                  <from>
                    <xdr:col>21</xdr:col>
                    <xdr:colOff>600075</xdr:colOff>
                    <xdr:row>5</xdr:row>
                    <xdr:rowOff>85725</xdr:rowOff>
                  </from>
                  <to>
                    <xdr:col>22</xdr:col>
                    <xdr:colOff>676275</xdr:colOff>
                    <xdr:row>8</xdr:row>
                    <xdr:rowOff>0</xdr:rowOff>
                  </to>
                </anchor>
              </controlPr>
            </control>
          </mc:Choice>
        </mc:AlternateContent>
        <mc:AlternateContent xmlns:mc="http://schemas.openxmlformats.org/markup-compatibility/2006">
          <mc:Choice Requires="x14">
            <control shapeId="1035" r:id="rId9" name="Button 11">
              <controlPr defaultSize="0" print="0" autoFill="0" autoPict="0" macro="[0]!Quote_email_INTERNAL">
                <anchor moveWithCells="1" sizeWithCells="1">
                  <from>
                    <xdr:col>22</xdr:col>
                    <xdr:colOff>695325</xdr:colOff>
                    <xdr:row>5</xdr:row>
                    <xdr:rowOff>85725</xdr:rowOff>
                  </from>
                  <to>
                    <xdr:col>23</xdr:col>
                    <xdr:colOff>466725</xdr:colOff>
                    <xdr:row>8</xdr:row>
                    <xdr:rowOff>19050</xdr:rowOff>
                  </to>
                </anchor>
              </controlPr>
            </control>
          </mc:Choice>
        </mc:AlternateContent>
        <mc:AlternateContent xmlns:mc="http://schemas.openxmlformats.org/markup-compatibility/2006">
          <mc:Choice Requires="x14">
            <control shapeId="1036" r:id="rId10" name="Button 12">
              <controlPr defaultSize="0" print="0" autoFill="0" autoPict="0" macro="[0]!RFQ_email">
                <anchor moveWithCells="1" sizeWithCells="1">
                  <from>
                    <xdr:col>23</xdr:col>
                    <xdr:colOff>76200</xdr:colOff>
                    <xdr:row>0</xdr:row>
                    <xdr:rowOff>9525</xdr:rowOff>
                  </from>
                  <to>
                    <xdr:col>24</xdr:col>
                    <xdr:colOff>0</xdr:colOff>
                    <xdr:row>1</xdr:row>
                    <xdr:rowOff>85725</xdr:rowOff>
                  </to>
                </anchor>
              </controlPr>
            </control>
          </mc:Choice>
        </mc:AlternateContent>
      </controls>
    </mc:Choice>
  </mc:AlternateContent>
  <tableParts count="2">
    <tablePart r:id="rId11"/>
    <tablePart r:id="rId1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6021F-2ED8-4670-BDDD-75E10A0EE3A6}">
  <sheetPr codeName="Sheet511"/>
  <dimension ref="A1:Q13"/>
  <sheetViews>
    <sheetView showZeros="0" workbookViewId="0">
      <selection activeCell="B2" sqref="B2"/>
    </sheetView>
  </sheetViews>
  <sheetFormatPr defaultRowHeight="15" x14ac:dyDescent="0.25"/>
  <cols>
    <col min="1" max="1" width="4.7109375" style="2" bestFit="1" customWidth="1"/>
    <col min="2" max="2" width="15.7109375" style="2" customWidth="1"/>
    <col min="3" max="3" width="20.7109375" style="2" customWidth="1"/>
    <col min="4" max="6" width="15.7109375" style="5" customWidth="1"/>
    <col min="7" max="7" width="17.28515625" style="2" customWidth="1"/>
    <col min="8" max="8" width="9.140625" style="2"/>
    <col min="9" max="9" width="12.85546875" style="2" customWidth="1"/>
    <col min="10" max="16384" width="9.140625" style="2"/>
  </cols>
  <sheetData>
    <row r="1" spans="1:17" ht="15" customHeight="1" x14ac:dyDescent="0.25">
      <c r="A1" s="2" t="s">
        <v>53</v>
      </c>
      <c r="B1" s="2" t="s">
        <v>2</v>
      </c>
      <c r="C1" s="2" t="s">
        <v>3</v>
      </c>
      <c r="D1" s="5" t="s">
        <v>13</v>
      </c>
      <c r="E1" s="5" t="s">
        <v>14</v>
      </c>
      <c r="F1" s="2" t="s">
        <v>19</v>
      </c>
      <c r="G1" s="2" t="s">
        <v>124</v>
      </c>
      <c r="H1" s="7"/>
      <c r="I1" s="10" t="s">
        <v>29</v>
      </c>
      <c r="J1" s="11"/>
      <c r="K1" s="11"/>
      <c r="L1" s="11"/>
      <c r="M1" s="11"/>
      <c r="N1" s="11"/>
      <c r="O1" s="11"/>
      <c r="P1" s="11"/>
      <c r="Q1" s="11"/>
    </row>
    <row r="2" spans="1:17" x14ac:dyDescent="0.25">
      <c r="A2" s="3">
        <f>IF(A1="Line",1,A1+1)</f>
        <v>1</v>
      </c>
      <c r="B2" s="4"/>
      <c r="F2" s="4" t="str">
        <f xml:space="preserve"> CHAR(10) &amp; "PLEASE MAKE SURE TO INCLUDE BELOW IN CAL CERT:" &amp; CHAR(10) &amp; "1. THE CORRECT P/N, S/N, CUSTOMER’S REFERENCE #" &amp; CHAR(10) &amp; "2. BEFORE AND AFTER DATA" &amp; CHAR(10) &amp; "(IF THE BEFORE DATA IS NOT AVAILABLE, PLEASE EXPLAIN WHY)" &amp; CHAR(10) &amp; "3. STANDARD VALUE, TOLERANCE ACTUAL DATA" &amp; CHAR(10) &amp; "4. REPAIR OR REPLACEMENT" &amp; CHAR(10) &amp; "5. ORIGINAL DOCUMENTATION"</f>
        <v xml:space="preserve">
PLEASE MAKE SURE TO INCLUDE BELOW IN CAL CERT:
1. THE CORRECT P/N, S/N, CUSTOMER’S REFERENCE #
2. BEFORE AND AFTER DATA
(IF THE BEFORE DATA IS NOT AVAILABLE, PLEASE EXPLAIN WHY)
3. STANDARD VALUE, TOLERANCE ACTUAL DATA
4. REPAIR OR REPLACEMENT
5. ORIGINAL DOCUMENTATION</v>
      </c>
      <c r="G2" s="4" t="str">
        <f>"P/N: "&amp;Table14785[[#This Row],[Part '#]] &amp; CHAR(10) &amp;"DESC: "&amp; Table14785[[#This Row],[Description]] &amp; CHAR(10) &amp; "S/N: " &amp; Table14785[[#This Row],[Serial '#]] &amp; CHAR(10) &amp; "Customer Ref #: " &amp; Table14785[[#This Row],[Customer Ref '#]] &amp; Table14785[[#This Row],[Addendum]]</f>
        <v>P/N: 
DESC: 
S/N: 
Customer Ref #: 
PLEASE MAKE SURE TO INCLUDE BELOW IN CAL CERT:
1. THE CORRECT P/N, S/N, CUSTOMER’S REFERENCE #
2. BEFORE AND AFTER DATA
(IF THE BEFORE DATA IS NOT AVAILABLE, PLEASE EXPLAIN WHY)
3. STANDARD VALUE, TOLERANCE ACTUAL DATA
4. REPAIR OR REPLACEMENT
5. ORIGINAL DOCUMENTATION</v>
      </c>
    </row>
    <row r="6" spans="1:17" x14ac:dyDescent="0.25">
      <c r="H6" s="2" t="s">
        <v>95</v>
      </c>
    </row>
    <row r="7" spans="1:17" x14ac:dyDescent="0.25">
      <c r="H7" s="36">
        <f>COUNTA(Table14785[Part '#])</f>
        <v>0</v>
      </c>
    </row>
    <row r="9" spans="1:17" x14ac:dyDescent="0.25">
      <c r="H9" s="2" t="s">
        <v>15</v>
      </c>
    </row>
    <row r="10" spans="1:17" x14ac:dyDescent="0.25">
      <c r="H10" s="35" t="str">
        <f ca="1">MAIN!X11</f>
        <v>RFQ_and_QUOTE_Form</v>
      </c>
    </row>
    <row r="12" spans="1:17" x14ac:dyDescent="0.25">
      <c r="H12" s="2" t="s">
        <v>18</v>
      </c>
    </row>
    <row r="13" spans="1:17" x14ac:dyDescent="0.25">
      <c r="H13" s="30" cm="1">
        <f t="array" ref="H13">MAIN_TABLE[Vendor]</f>
        <v>0</v>
      </c>
      <c r="J13" s="2" t="s">
        <v>123</v>
      </c>
    </row>
  </sheetData>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FQ_cal_email">
                <anchor moveWithCells="1" sizeWithCells="1">
                  <from>
                    <xdr:col>8</xdr:col>
                    <xdr:colOff>381000</xdr:colOff>
                    <xdr:row>3</xdr:row>
                    <xdr:rowOff>85725</xdr:rowOff>
                  </from>
                  <to>
                    <xdr:col>10</xdr:col>
                    <xdr:colOff>76200</xdr:colOff>
                    <xdr:row>6</xdr:row>
                    <xdr:rowOff>133350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036E8-B01E-4E20-B125-D4ED7A1C9D22}">
  <sheetPr codeName="Sheet611"/>
  <dimension ref="A1:AA46"/>
  <sheetViews>
    <sheetView workbookViewId="0">
      <selection activeCell="K1" sqref="K1"/>
    </sheetView>
  </sheetViews>
  <sheetFormatPr defaultRowHeight="15" x14ac:dyDescent="0.25"/>
  <cols>
    <col min="1" max="1" width="9.5703125" customWidth="1"/>
    <col min="2" max="2" width="18.5703125" customWidth="1"/>
    <col min="3" max="3" width="18.42578125" customWidth="1"/>
    <col min="4" max="4" width="11.42578125" customWidth="1"/>
    <col min="5" max="5" width="4.140625" customWidth="1"/>
    <col min="6" max="6" width="4.85546875" customWidth="1"/>
    <col min="8" max="8" width="19" customWidth="1"/>
    <col min="9" max="9" width="11.85546875" customWidth="1"/>
    <col min="11" max="11" width="15" customWidth="1"/>
    <col min="12" max="12" width="9.28515625" customWidth="1"/>
    <col min="13" max="13" width="12.85546875" customWidth="1"/>
    <col min="20" max="20" width="23.85546875" customWidth="1"/>
    <col min="23" max="23" width="14.85546875" bestFit="1" customWidth="1"/>
    <col min="27" max="27" width="12.28515625" customWidth="1"/>
  </cols>
  <sheetData>
    <row r="1" spans="1:27" x14ac:dyDescent="0.25">
      <c r="A1" s="1" t="s">
        <v>70</v>
      </c>
      <c r="H1" s="1" t="s">
        <v>54</v>
      </c>
      <c r="K1" s="1" t="s">
        <v>60</v>
      </c>
      <c r="O1" s="1" t="s">
        <v>56</v>
      </c>
      <c r="T1" s="1" t="s">
        <v>32</v>
      </c>
      <c r="V1" s="15"/>
      <c r="Y1" t="s">
        <v>97</v>
      </c>
    </row>
    <row r="2" spans="1:27" x14ac:dyDescent="0.25">
      <c r="A2" s="1" t="s">
        <v>2</v>
      </c>
      <c r="B2" s="1" t="s">
        <v>62</v>
      </c>
      <c r="C2" s="1" t="s">
        <v>63</v>
      </c>
      <c r="D2" s="1" t="s">
        <v>26</v>
      </c>
      <c r="E2" s="1" t="s">
        <v>64</v>
      </c>
      <c r="F2" s="1" t="s">
        <v>65</v>
      </c>
      <c r="H2" s="1" t="s">
        <v>66</v>
      </c>
      <c r="I2" s="1" t="s">
        <v>67</v>
      </c>
      <c r="K2" s="1" t="s">
        <v>57</v>
      </c>
      <c r="L2" s="1" t="s">
        <v>68</v>
      </c>
      <c r="M2" s="1" t="s">
        <v>67</v>
      </c>
      <c r="O2" s="1" t="s">
        <v>57</v>
      </c>
      <c r="P2" s="1" t="s">
        <v>58</v>
      </c>
      <c r="Q2" s="1" t="s">
        <v>59</v>
      </c>
      <c r="R2" s="1" t="s">
        <v>73</v>
      </c>
      <c r="T2" t="s">
        <v>69</v>
      </c>
      <c r="U2" t="s">
        <v>38</v>
      </c>
      <c r="V2" t="s">
        <v>37</v>
      </c>
      <c r="W2" t="s">
        <v>36</v>
      </c>
      <c r="Y2" t="s">
        <v>98</v>
      </c>
      <c r="Z2" t="s">
        <v>1</v>
      </c>
      <c r="AA2" t="s">
        <v>99</v>
      </c>
    </row>
    <row r="3" spans="1:27" x14ac:dyDescent="0.25">
      <c r="A3" t="s">
        <v>23</v>
      </c>
      <c r="B3" t="s">
        <v>24</v>
      </c>
      <c r="C3" t="b">
        <f t="shared" ref="C3" si="0">IF(F4=0,E3,FALSE)</f>
        <v>0</v>
      </c>
      <c r="D3" t="str">
        <f t="shared" ref="D3:D5" si="1">", "</f>
        <v xml:space="preserve">, </v>
      </c>
      <c r="E3" t="str">
        <f t="shared" ref="E3" si="2">IF(ISBLANK(A3)=TRUE,E2&amp;D3&amp;B3,B3)</f>
        <v>Desc 1</v>
      </c>
      <c r="F3">
        <f t="shared" ref="F3" si="3">IF(ISBLANK(A3)=TRUE,F2+1,0)</f>
        <v>0</v>
      </c>
      <c r="H3" t="s">
        <v>55</v>
      </c>
      <c r="I3" t="str">
        <f>Spc2Tab(H3)</f>
        <v>Part	Desc	QTY</v>
      </c>
      <c r="K3" t="s">
        <v>96</v>
      </c>
      <c r="L3" t="s">
        <v>61</v>
      </c>
      <c r="M3" t="str">
        <f>RepeatChar2Tab(K3,L3)</f>
        <v>Part	Desc	QTY</v>
      </c>
      <c r="O3" t="s">
        <v>92</v>
      </c>
      <c r="P3" t="str">
        <f>RIGHT(Table7[[#This Row],[Text]],2)</f>
        <v>ea</v>
      </c>
      <c r="R3" t="str">
        <f>SUBSTITUTE(Table7[[#This Row],[Text]],Table7[[#This Row],[Old Text]],Table7[[#This Row],[New Text]])</f>
        <v>20</v>
      </c>
      <c r="T3" t="s">
        <v>34</v>
      </c>
      <c r="U3" t="b">
        <f t="shared" ref="U3:U5" si="4">IFERROR(IF(SEARCH($U$2,T3),SUBSTITUTE(T3,$U$2,""),FALSE),FALSE)</f>
        <v>0</v>
      </c>
      <c r="V3" t="b">
        <f>IFERROR(IF(SEARCH($V$2,T3),SUBSTITUTE(T3,$V$2,""),FALSE),FALSE)</f>
        <v>0</v>
      </c>
      <c r="W3" t="str">
        <f>IFERROR(IF(SEARCH($W$2,T3),SUBSTITUTE(T3,$W$2,""),FALSE),FALSE)</f>
        <v>Fighter Bomber</v>
      </c>
      <c r="Y3" t="s">
        <v>100</v>
      </c>
      <c r="Z3">
        <v>23</v>
      </c>
      <c r="AA3" t="str">
        <f>Y3&amp;","&amp;Z3</f>
        <v>part-01,23</v>
      </c>
    </row>
    <row r="4" spans="1:27" x14ac:dyDescent="0.25">
      <c r="B4" t="s">
        <v>25</v>
      </c>
      <c r="C4" t="str">
        <f t="shared" ref="C4:C5" si="5">IF(F5=0,E4,FALSE)</f>
        <v>Desc 1, Desc 2</v>
      </c>
      <c r="D4" t="str">
        <f t="shared" si="1"/>
        <v xml:space="preserve">, </v>
      </c>
      <c r="E4" t="str">
        <f t="shared" ref="E4:E5" si="6">IF(ISBLANK(A4)=TRUE,E3&amp;D4&amp;B4,B4)</f>
        <v>Desc 1, Desc 2</v>
      </c>
      <c r="F4">
        <f t="shared" ref="F4:F5" si="7">IF(ISBLANK(A4)=TRUE,F3+1,0)</f>
        <v>1</v>
      </c>
      <c r="T4" t="s">
        <v>35</v>
      </c>
      <c r="U4" t="b">
        <f t="shared" si="4"/>
        <v>0</v>
      </c>
      <c r="V4" t="str">
        <f>IFERROR(IF(SEARCH($V$2,T4),SUBSTITUTE(T4,$V$2,""),FALSE),FALSE)</f>
        <v>F/A-18E</v>
      </c>
      <c r="W4" t="b">
        <f>IFERROR(IF(SEARCH($W$2,T4),SUBSTITUTE(T4,$W$2,""),FALSE),FALSE)</f>
        <v>0</v>
      </c>
    </row>
    <row r="5" spans="1:27" x14ac:dyDescent="0.25">
      <c r="A5" t="s">
        <v>27</v>
      </c>
      <c r="B5" t="s">
        <v>28</v>
      </c>
      <c r="C5" t="str">
        <f t="shared" si="5"/>
        <v>Desc 3</v>
      </c>
      <c r="D5" t="str">
        <f t="shared" si="1"/>
        <v xml:space="preserve">, </v>
      </c>
      <c r="E5" t="str">
        <f t="shared" si="6"/>
        <v>Desc 3</v>
      </c>
      <c r="F5">
        <f t="shared" si="7"/>
        <v>0</v>
      </c>
      <c r="H5" t="s">
        <v>71</v>
      </c>
      <c r="O5" t="s">
        <v>78</v>
      </c>
      <c r="T5" t="s">
        <v>33</v>
      </c>
      <c r="U5" t="str">
        <f t="shared" si="4"/>
        <v>10EA</v>
      </c>
      <c r="V5" t="b">
        <f>IFERROR(IF(SEARCH($V$2,T5),SUBSTITUTE(T5,$V$2,""),FALSE),FALSE)</f>
        <v>0</v>
      </c>
      <c r="W5" t="b">
        <f>IFERROR(IF(SEARCH($W$2,T5),SUBSTITUTE(T5,$W$2,""),FALSE),FALSE)</f>
        <v>0</v>
      </c>
    </row>
    <row r="6" spans="1:27" x14ac:dyDescent="0.25">
      <c r="H6" t="s">
        <v>79</v>
      </c>
      <c r="O6" t="s">
        <v>80</v>
      </c>
    </row>
    <row r="8" spans="1:27" x14ac:dyDescent="0.25">
      <c r="A8" t="s">
        <v>81</v>
      </c>
      <c r="T8" t="s">
        <v>72</v>
      </c>
    </row>
    <row r="9" spans="1:27" x14ac:dyDescent="0.25">
      <c r="A9" t="s">
        <v>82</v>
      </c>
    </row>
    <row r="10" spans="1:27" x14ac:dyDescent="0.25">
      <c r="T10" t="s">
        <v>81</v>
      </c>
    </row>
    <row r="11" spans="1:27" x14ac:dyDescent="0.25">
      <c r="T11" t="s">
        <v>82</v>
      </c>
    </row>
    <row r="16" spans="1:27" ht="15" customHeight="1" x14ac:dyDescent="0.25"/>
    <row r="17" ht="15" customHeight="1" x14ac:dyDescent="0.25"/>
    <row r="18" ht="15" customHeight="1" x14ac:dyDescent="0.25"/>
    <row r="19" ht="15" customHeight="1" x14ac:dyDescent="0.25"/>
    <row r="20" ht="15" customHeight="1" x14ac:dyDescent="0.25"/>
    <row r="21" ht="15" customHeight="1" x14ac:dyDescent="0.25"/>
    <row r="43" spans="1:3" x14ac:dyDescent="0.25">
      <c r="A43" s="1"/>
      <c r="C43" s="15"/>
    </row>
    <row r="44" spans="1:3" x14ac:dyDescent="0.25">
      <c r="C44" s="15"/>
    </row>
    <row r="46" spans="1:3" x14ac:dyDescent="0.25">
      <c r="A46" s="15"/>
    </row>
  </sheetData>
  <pageMargins left="0.7" right="0.7" top="0.75" bottom="0.75" header="0.3" footer="0.3"/>
  <pageSetup orientation="portrait" horizontalDpi="1200" verticalDpi="1200" r:id="rId1"/>
  <tableParts count="6">
    <tablePart r:id="rId2"/>
    <tablePart r:id="rId3"/>
    <tablePart r:id="rId4"/>
    <tablePart r:id="rId5"/>
    <tablePart r:id="rId6"/>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82B2D-9AD7-4D7A-8E6B-53892701ECFE}">
  <sheetPr codeName="Sheet111"/>
  <dimension ref="A1:N3"/>
  <sheetViews>
    <sheetView workbookViewId="0">
      <selection activeCell="B4" sqref="B4"/>
    </sheetView>
  </sheetViews>
  <sheetFormatPr defaultRowHeight="15" x14ac:dyDescent="0.25"/>
  <cols>
    <col min="1" max="1" width="14" customWidth="1"/>
    <col min="6" max="6" width="11.28515625" bestFit="1" customWidth="1"/>
    <col min="7" max="7" width="13.5703125" bestFit="1" customWidth="1"/>
    <col min="8" max="8" width="12.28515625" bestFit="1" customWidth="1"/>
    <col min="9" max="9" width="13.5703125" bestFit="1" customWidth="1"/>
    <col min="10" max="10" width="13.5703125" style="13" customWidth="1"/>
    <col min="12" max="12" width="12.42578125" customWidth="1"/>
  </cols>
  <sheetData>
    <row r="1" spans="1:14" x14ac:dyDescent="0.25">
      <c r="A1" t="s">
        <v>86</v>
      </c>
      <c r="B1" t="s">
        <v>83</v>
      </c>
      <c r="C1" t="s">
        <v>84</v>
      </c>
      <c r="D1" t="s">
        <v>42</v>
      </c>
      <c r="E1" t="s">
        <v>77</v>
      </c>
      <c r="F1" t="s">
        <v>85</v>
      </c>
      <c r="G1" t="s">
        <v>87</v>
      </c>
      <c r="H1" t="s">
        <v>88</v>
      </c>
      <c r="I1" t="s">
        <v>89</v>
      </c>
      <c r="J1" s="13" t="s">
        <v>91</v>
      </c>
      <c r="L1" t="s">
        <v>84</v>
      </c>
      <c r="M1" s="31" t="s">
        <v>42</v>
      </c>
      <c r="N1" s="31" t="s">
        <v>77</v>
      </c>
    </row>
    <row r="2" spans="1:14" x14ac:dyDescent="0.25">
      <c r="A2" t="s">
        <v>45</v>
      </c>
      <c r="B2" t="s">
        <v>108</v>
      </c>
      <c r="C2" t="s">
        <v>101</v>
      </c>
      <c r="D2" t="str">
        <f>IFERROR(VLOOKUP(CustID[[#This Row],[Salute]],contacts[],2,FALSE),"")</f>
        <v>johndoe@janedoe.etc</v>
      </c>
      <c r="E2" t="str">
        <f>IFERROR(VLOOKUP(CustID[[#This Row],[Salute]],contacts[],3,FALSE),"")</f>
        <v>janedoe@janedoe.etc</v>
      </c>
      <c r="F2" t="s">
        <v>76</v>
      </c>
      <c r="G2" s="28">
        <v>0.2</v>
      </c>
      <c r="H2" s="13">
        <v>20</v>
      </c>
      <c r="I2" s="29">
        <v>0.1</v>
      </c>
      <c r="J2" s="13">
        <v>20</v>
      </c>
      <c r="L2" t="s">
        <v>101</v>
      </c>
      <c r="M2" s="32" t="s">
        <v>102</v>
      </c>
      <c r="N2" s="32" t="s">
        <v>103</v>
      </c>
    </row>
    <row r="3" spans="1:14" x14ac:dyDescent="0.25">
      <c r="A3" t="s">
        <v>107</v>
      </c>
      <c r="B3" t="s">
        <v>109</v>
      </c>
      <c r="C3" s="37" t="s">
        <v>104</v>
      </c>
      <c r="D3" t="str">
        <f>IFERROR(VLOOKUP(CustID[[#This Row],[Salute]],contacts[],2,FALSE),"")</f>
        <v>jacknorth@northsoutheast.west</v>
      </c>
      <c r="E3">
        <f>IFERROR(VLOOKUP(CustID[[#This Row],[Salute]],contacts[],3,FALSE),"")</f>
        <v>0</v>
      </c>
      <c r="F3" t="s">
        <v>106</v>
      </c>
      <c r="G3" s="28">
        <v>0.3</v>
      </c>
      <c r="H3" s="13">
        <v>30</v>
      </c>
      <c r="I3" s="29">
        <v>0.15</v>
      </c>
      <c r="J3" s="13">
        <v>20</v>
      </c>
      <c r="L3" s="37" t="s">
        <v>104</v>
      </c>
      <c r="M3" s="38" t="s">
        <v>105</v>
      </c>
      <c r="N3" s="38"/>
    </row>
  </sheetData>
  <hyperlinks>
    <hyperlink ref="M2" r:id="rId1" xr:uid="{CCC77BC9-1AFE-427E-B0CE-99E012CEF7A8}"/>
    <hyperlink ref="N2" r:id="rId2" xr:uid="{35A5CC1F-183E-4D61-8B7F-2F49CC4A0539}"/>
    <hyperlink ref="M3" r:id="rId3" xr:uid="{85D4793E-2865-4385-A6D9-069C51378AC0}"/>
  </hyperlinks>
  <pageMargins left="0.7" right="0.7" top="0.75" bottom="0.75" header="0.3" footer="0.3"/>
  <pageSetup orientation="portrait" horizontalDpi="1200" verticalDpi="1200" r:id="rId4"/>
  <tableParts count="2">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65044-5BF3-4333-813D-28BCD8F9FAA0}">
  <sheetPr codeName="Sheet311"/>
  <dimension ref="A1:F2"/>
  <sheetViews>
    <sheetView workbookViewId="0">
      <selection activeCell="G4" sqref="G4"/>
    </sheetView>
  </sheetViews>
  <sheetFormatPr defaultRowHeight="15" x14ac:dyDescent="0.25"/>
  <sheetData>
    <row r="1" spans="1:6" x14ac:dyDescent="0.25">
      <c r="A1" t="s">
        <v>41</v>
      </c>
      <c r="B1" t="s">
        <v>42</v>
      </c>
      <c r="C1" t="s">
        <v>43</v>
      </c>
      <c r="D1" t="s">
        <v>44</v>
      </c>
      <c r="E1" t="s">
        <v>45</v>
      </c>
      <c r="F1" t="s">
        <v>31</v>
      </c>
    </row>
    <row r="2" spans="1:6" x14ac:dyDescent="0.25">
      <c r="A2" t="str">
        <f ca="1">MAIN!X12</f>
        <v>Hi John</v>
      </c>
      <c r="B2" t="str">
        <f ca="1">MAIN!X13</f>
        <v>johndoe@janedoe.etc</v>
      </c>
      <c r="C2" s="13" t="str">
        <f ca="1">IF(MAIN!X24&gt;MAIN!X28,TEXT(MAIN!X28,"$#,##0.00"),"The TOTAL shown above.")</f>
        <v>The TOTAL shown above.</v>
      </c>
      <c r="D2" s="13" t="str">
        <f ca="1">TEXT(MAIN!X24,"$* #,##0.00") &amp; IF(MAIN!X24&lt;MAIN!X28, CHAR(10) &amp; " (Fixed costs are driving higher unit prices in this quote.)","")</f>
        <v>$0.00
 (Fixed costs are driving higher unit prices in this quote.)</v>
      </c>
      <c r="E2" t="str">
        <f ca="1">MAIN!X11</f>
        <v>RFQ_and_QUOTE_Form</v>
      </c>
      <c r="F2" t="str">
        <f>IF(COUNTIF(MAIN!U:U,TRUE)&gt;0, "As listed in above table",MAIN!S2)</f>
        <v>None</v>
      </c>
    </row>
  </sheetData>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User Guide</vt:lpstr>
      <vt:lpstr>MAIN</vt:lpstr>
      <vt:lpstr>RFQ (CALIBRATION)</vt:lpstr>
      <vt:lpstr>Functions</vt:lpstr>
      <vt:lpstr>Cust ID</vt:lpstr>
      <vt:lpstr>0_MailMergeFields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Shota Watanabe</dc:creator>
  <cp:lastModifiedBy>Ultimate Admin</cp:lastModifiedBy>
  <dcterms:created xsi:type="dcterms:W3CDTF">2018-09-28T19:21:22Z</dcterms:created>
  <dcterms:modified xsi:type="dcterms:W3CDTF">2020-05-07T23:22:37Z</dcterms:modified>
</cp:coreProperties>
</file>